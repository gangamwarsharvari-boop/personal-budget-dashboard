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Recurring Costs" sheetId="4" state="visible" r:id="rId4"/>
  </sheets>
  <definedNames>
    <definedName name="_xlnm._FilterDatabase" localSheetId="1" hidden="1">'Transactions'!$A$1:$F$351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"/>
    <numFmt numFmtId="165" formatCode="$#,##0"/>
    <numFmt numFmtId="166" formatCode="0.0%"/>
    <numFmt numFmtId="167" formatCode="$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sz val="14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166" fontId="2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'Monthly Summary'!H3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Summary'!$A$4:$A$17</f>
            </numRef>
          </cat>
          <val>
            <numRef>
              <f>'Monthly Summary'!$H$4:$H$17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vs. Expenses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Summary'!A23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Summary'!$B$22:$G$22</f>
            </numRef>
          </cat>
          <val>
            <numRef>
              <f>'Monthly Summary'!$B$23:$G$23</f>
            </numRef>
          </val>
        </ser>
        <ser>
          <idx val="1"/>
          <order val="1"/>
          <tx>
            <strRef>
              <f>'Monthly Summary'!A24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Summary'!$B$22:$G$22</f>
            </numRef>
          </cat>
          <val>
            <numRef>
              <f>'Monthly Summary'!$B$24:$G$24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Savings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Summary'!$B$22:$G$22</f>
            </numRef>
          </cat>
          <val>
            <numRef>
              <f>'Monthly Summary'!$B$25:$G$25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4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Personal Budget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4" customWidth="1" min="2" max="2"/>
    <col width="12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Type</t>
        </is>
      </c>
      <c r="F1" s="1" t="inlineStr">
        <is>
          <t>Month</t>
        </is>
      </c>
    </row>
    <row r="2">
      <c r="A2" t="inlineStr">
        <is>
          <t>2025-01-01</t>
        </is>
      </c>
      <c r="B2" t="inlineStr">
        <is>
          <t>Rent Payment - Sunrise Apartments</t>
        </is>
      </c>
      <c r="C2" s="2" t="n">
        <v>-1450</v>
      </c>
      <c r="D2" t="inlineStr">
        <is>
          <t>Housing</t>
        </is>
      </c>
      <c r="E2" t="inlineStr">
        <is>
          <t>Expense</t>
        </is>
      </c>
      <c r="F2" t="inlineStr">
        <is>
          <t>2025-01</t>
        </is>
      </c>
    </row>
    <row r="3">
      <c r="A3" t="inlineStr">
        <is>
          <t>2025-01-01</t>
        </is>
      </c>
      <c r="B3" t="inlineStr">
        <is>
          <t>Employer Payroll Direct Dep</t>
        </is>
      </c>
      <c r="C3" s="2" t="n">
        <v>2650</v>
      </c>
      <c r="D3" t="inlineStr">
        <is>
          <t>Income</t>
        </is>
      </c>
      <c r="E3" t="inlineStr">
        <is>
          <t>Income</t>
        </is>
      </c>
      <c r="F3" t="inlineStr">
        <is>
          <t>2025-01</t>
        </is>
      </c>
    </row>
    <row r="4">
      <c r="A4" t="inlineStr">
        <is>
          <t>2025-01-01</t>
        </is>
      </c>
      <c r="B4" t="inlineStr">
        <is>
          <t>Local Pizza Co</t>
        </is>
      </c>
      <c r="C4" s="2" t="n">
        <v>-25.13</v>
      </c>
      <c r="D4" t="inlineStr">
        <is>
          <t>Dining Out</t>
        </is>
      </c>
      <c r="E4" t="inlineStr">
        <is>
          <t>Expense</t>
        </is>
      </c>
      <c r="F4" t="inlineStr">
        <is>
          <t>2025-01</t>
        </is>
      </c>
    </row>
    <row r="5">
      <c r="A5" t="inlineStr">
        <is>
          <t>2025-01-03</t>
        </is>
      </c>
      <c r="B5" t="inlineStr">
        <is>
          <t>Geico Insurance</t>
        </is>
      </c>
      <c r="C5" s="2" t="n">
        <v>-135.25</v>
      </c>
      <c r="D5" t="inlineStr">
        <is>
          <t>Insurance</t>
        </is>
      </c>
      <c r="E5" t="inlineStr">
        <is>
          <t>Expense</t>
        </is>
      </c>
      <c r="F5" t="inlineStr">
        <is>
          <t>2025-01</t>
        </is>
      </c>
    </row>
    <row r="6">
      <c r="A6" t="inlineStr">
        <is>
          <t>2025-01-04</t>
        </is>
      </c>
      <c r="B6" t="inlineStr">
        <is>
          <t>Planet Fitness</t>
        </is>
      </c>
      <c r="C6" s="2" t="n">
        <v>-24.99</v>
      </c>
      <c r="D6" t="inlineStr">
        <is>
          <t>Health &amp; Fitness</t>
        </is>
      </c>
      <c r="E6" t="inlineStr">
        <is>
          <t>Expense</t>
        </is>
      </c>
      <c r="F6" t="inlineStr">
        <is>
          <t>2025-01</t>
        </is>
      </c>
    </row>
    <row r="7">
      <c r="A7" t="inlineStr">
        <is>
          <t>2025-01-05</t>
        </is>
      </c>
      <c r="B7" t="inlineStr">
        <is>
          <t>Netflix.com</t>
        </is>
      </c>
      <c r="C7" s="2" t="n">
        <v>-15.49</v>
      </c>
      <c r="D7" t="inlineStr">
        <is>
          <t>Subscriptions</t>
        </is>
      </c>
      <c r="E7" t="inlineStr">
        <is>
          <t>Expense</t>
        </is>
      </c>
      <c r="F7" t="inlineStr">
        <is>
          <t>2025-01</t>
        </is>
      </c>
    </row>
    <row r="8">
      <c r="A8" t="inlineStr">
        <is>
          <t>2025-01-05</t>
        </is>
      </c>
      <c r="B8" t="inlineStr">
        <is>
          <t>Airbnb</t>
        </is>
      </c>
      <c r="C8" s="2" t="n">
        <v>-257.17</v>
      </c>
      <c r="D8" t="inlineStr">
        <is>
          <t>Travel</t>
        </is>
      </c>
      <c r="E8" t="inlineStr">
        <is>
          <t>Expense</t>
        </is>
      </c>
      <c r="F8" t="inlineStr">
        <is>
          <t>2025-01</t>
        </is>
      </c>
    </row>
    <row r="9">
      <c r="A9" t="inlineStr">
        <is>
          <t>2025-01-05</t>
        </is>
      </c>
      <c r="B9" t="inlineStr">
        <is>
          <t>Ticketmaster</t>
        </is>
      </c>
      <c r="C9" s="2" t="n">
        <v>-81.98</v>
      </c>
      <c r="D9" t="inlineStr">
        <is>
          <t>Entertainment</t>
        </is>
      </c>
      <c r="E9" t="inlineStr">
        <is>
          <t>Expense</t>
        </is>
      </c>
      <c r="F9" t="inlineStr">
        <is>
          <t>2025-01</t>
        </is>
      </c>
    </row>
    <row r="10">
      <c r="A10" t="inlineStr">
        <is>
          <t>2025-01-06</t>
        </is>
      </c>
      <c r="B10" t="inlineStr">
        <is>
          <t>Best Buy</t>
        </is>
      </c>
      <c r="C10" s="2" t="n">
        <v>-292.19</v>
      </c>
      <c r="D10" t="inlineStr">
        <is>
          <t>Shopping</t>
        </is>
      </c>
      <c r="E10" t="inlineStr">
        <is>
          <t>Expense</t>
        </is>
      </c>
      <c r="F10" t="inlineStr">
        <is>
          <t>2025-01</t>
        </is>
      </c>
    </row>
    <row r="11">
      <c r="A11" t="inlineStr">
        <is>
          <t>2025-01-06</t>
        </is>
      </c>
      <c r="B11" t="inlineStr">
        <is>
          <t>Trader Joe's</t>
        </is>
      </c>
      <c r="C11" s="2" t="n">
        <v>-69.22</v>
      </c>
      <c r="D11" t="inlineStr">
        <is>
          <t>Groceries</t>
        </is>
      </c>
      <c r="E11" t="inlineStr">
        <is>
          <t>Expense</t>
        </is>
      </c>
      <c r="F11" t="inlineStr">
        <is>
          <t>2025-01</t>
        </is>
      </c>
    </row>
    <row r="12">
      <c r="A12" t="inlineStr">
        <is>
          <t>2025-01-06</t>
        </is>
      </c>
      <c r="B12" t="inlineStr">
        <is>
          <t>The Cheesecake Factory</t>
        </is>
      </c>
      <c r="C12" s="2" t="n">
        <v>-62.27</v>
      </c>
      <c r="D12" t="inlineStr">
        <is>
          <t>Dining Out</t>
        </is>
      </c>
      <c r="E12" t="inlineStr">
        <is>
          <t>Expense</t>
        </is>
      </c>
      <c r="F12" t="inlineStr">
        <is>
          <t>2025-01</t>
        </is>
      </c>
    </row>
    <row r="13">
      <c r="A13" t="inlineStr">
        <is>
          <t>2025-01-07</t>
        </is>
      </c>
      <c r="B13" t="inlineStr">
        <is>
          <t>Spotify USA</t>
        </is>
      </c>
      <c r="C13" s="2" t="n">
        <v>-11.99</v>
      </c>
      <c r="D13" t="inlineStr">
        <is>
          <t>Subscriptions</t>
        </is>
      </c>
      <c r="E13" t="inlineStr">
        <is>
          <t>Expense</t>
        </is>
      </c>
      <c r="F13" t="inlineStr">
        <is>
          <t>2025-01</t>
        </is>
      </c>
    </row>
    <row r="14">
      <c r="A14" t="inlineStr">
        <is>
          <t>2025-01-07</t>
        </is>
      </c>
      <c r="B14" t="inlineStr">
        <is>
          <t>H&amp;M</t>
        </is>
      </c>
      <c r="C14" s="2" t="n">
        <v>-74.95999999999999</v>
      </c>
      <c r="D14" t="inlineStr">
        <is>
          <t>Shopping</t>
        </is>
      </c>
      <c r="E14" t="inlineStr">
        <is>
          <t>Expense</t>
        </is>
      </c>
      <c r="F14" t="inlineStr">
        <is>
          <t>2025-01</t>
        </is>
      </c>
    </row>
    <row r="15">
      <c r="A15" t="inlineStr">
        <is>
          <t>2025-01-08</t>
        </is>
      </c>
      <c r="B15" t="inlineStr">
        <is>
          <t>REI</t>
        </is>
      </c>
      <c r="C15" s="2" t="n">
        <v>-100.87</v>
      </c>
      <c r="D15" t="inlineStr">
        <is>
          <t>Shopping</t>
        </is>
      </c>
      <c r="E15" t="inlineStr">
        <is>
          <t>Expense</t>
        </is>
      </c>
      <c r="F15" t="inlineStr">
        <is>
          <t>2025-01</t>
        </is>
      </c>
    </row>
    <row r="16">
      <c r="A16" t="inlineStr">
        <is>
          <t>2025-01-09</t>
        </is>
      </c>
      <c r="B16" t="inlineStr">
        <is>
          <t>Best Buy</t>
        </is>
      </c>
      <c r="C16" s="2" t="n">
        <v>-292.41</v>
      </c>
      <c r="D16" t="inlineStr">
        <is>
          <t>Shopping</t>
        </is>
      </c>
      <c r="E16" t="inlineStr">
        <is>
          <t>Expense</t>
        </is>
      </c>
      <c r="F16" t="inlineStr">
        <is>
          <t>2025-01</t>
        </is>
      </c>
    </row>
    <row r="17">
      <c r="A17" t="inlineStr">
        <is>
          <t>2025-01-10</t>
        </is>
      </c>
      <c r="B17" t="inlineStr">
        <is>
          <t>Comcast Xfinity</t>
        </is>
      </c>
      <c r="C17" s="2" t="n">
        <v>-92.36</v>
      </c>
      <c r="D17" t="inlineStr">
        <is>
          <t>Utilities</t>
        </is>
      </c>
      <c r="E17" t="inlineStr">
        <is>
          <t>Expense</t>
        </is>
      </c>
      <c r="F17" t="inlineStr">
        <is>
          <t>2025-01</t>
        </is>
      </c>
    </row>
    <row r="18">
      <c r="A18" t="inlineStr">
        <is>
          <t>2025-01-10</t>
        </is>
      </c>
      <c r="B18" t="inlineStr">
        <is>
          <t>Chase Credit Card Payment</t>
        </is>
      </c>
      <c r="C18" s="2" t="n">
        <v>-473.79</v>
      </c>
      <c r="D18" t="inlineStr">
        <is>
          <t>Debt Payments</t>
        </is>
      </c>
      <c r="E18" t="inlineStr">
        <is>
          <t>Expense</t>
        </is>
      </c>
      <c r="F18" t="inlineStr">
        <is>
          <t>2025-01</t>
        </is>
      </c>
    </row>
    <row r="19">
      <c r="A19" t="inlineStr">
        <is>
          <t>2025-01-10</t>
        </is>
      </c>
      <c r="B19" t="inlineStr">
        <is>
          <t>CVS Pharmacy</t>
        </is>
      </c>
      <c r="C19" s="2" t="n">
        <v>-39.14</v>
      </c>
      <c r="D19" t="inlineStr">
        <is>
          <t>Health &amp; Fitness</t>
        </is>
      </c>
      <c r="E19" t="inlineStr">
        <is>
          <t>Expense</t>
        </is>
      </c>
      <c r="F19" t="inlineStr">
        <is>
          <t>2025-01</t>
        </is>
      </c>
    </row>
    <row r="20">
      <c r="A20" t="inlineStr">
        <is>
          <t>2025-01-11</t>
        </is>
      </c>
      <c r="B20" t="inlineStr">
        <is>
          <t>Lyft</t>
        </is>
      </c>
      <c r="C20" s="2" t="n">
        <v>-13.06</v>
      </c>
      <c r="D20" t="inlineStr">
        <is>
          <t>Transportation</t>
        </is>
      </c>
      <c r="E20" t="inlineStr">
        <is>
          <t>Expense</t>
        </is>
      </c>
      <c r="F20" t="inlineStr">
        <is>
          <t>2025-01</t>
        </is>
      </c>
    </row>
    <row r="21">
      <c r="A21" t="inlineStr">
        <is>
          <t>2025-01-12</t>
        </is>
      </c>
      <c r="B21" t="inlineStr">
        <is>
          <t>PG&amp;E Electric</t>
        </is>
      </c>
      <c r="C21" s="2" t="n">
        <v>-107.37</v>
      </c>
      <c r="D21" t="inlineStr">
        <is>
          <t>Utilities</t>
        </is>
      </c>
      <c r="E21" t="inlineStr">
        <is>
          <t>Expense</t>
        </is>
      </c>
      <c r="F21" t="inlineStr">
        <is>
          <t>2025-01</t>
        </is>
      </c>
    </row>
    <row r="22">
      <c r="A22" t="inlineStr">
        <is>
          <t>2025-01-12</t>
        </is>
      </c>
      <c r="B22" t="inlineStr">
        <is>
          <t>Trader Joe's</t>
        </is>
      </c>
      <c r="C22" s="2" t="n">
        <v>-63.93</v>
      </c>
      <c r="D22" t="inlineStr">
        <is>
          <t>Groceries</t>
        </is>
      </c>
      <c r="E22" t="inlineStr">
        <is>
          <t>Expense</t>
        </is>
      </c>
      <c r="F22" t="inlineStr">
        <is>
          <t>2025-01</t>
        </is>
      </c>
    </row>
    <row r="23">
      <c r="A23" t="inlineStr">
        <is>
          <t>2025-01-12</t>
        </is>
      </c>
      <c r="B23" t="inlineStr">
        <is>
          <t>PetSmart</t>
        </is>
      </c>
      <c r="C23" s="2" t="n">
        <v>-20.97</v>
      </c>
      <c r="D23" t="inlineStr">
        <is>
          <t>Pets</t>
        </is>
      </c>
      <c r="E23" t="inlineStr">
        <is>
          <t>Expense</t>
        </is>
      </c>
      <c r="F23" t="inlineStr">
        <is>
          <t>2025-01</t>
        </is>
      </c>
    </row>
    <row r="24">
      <c r="A24" t="inlineStr">
        <is>
          <t>2025-01-13</t>
        </is>
      </c>
      <c r="B24" t="inlineStr">
        <is>
          <t>CVS Pharmacy</t>
        </is>
      </c>
      <c r="C24" s="2" t="n">
        <v>-16.86</v>
      </c>
      <c r="D24" t="inlineStr">
        <is>
          <t>Health &amp; Fitness</t>
        </is>
      </c>
      <c r="E24" t="inlineStr">
        <is>
          <t>Expense</t>
        </is>
      </c>
      <c r="F24" t="inlineStr">
        <is>
          <t>2025-01</t>
        </is>
      </c>
    </row>
    <row r="25">
      <c r="A25" t="inlineStr">
        <is>
          <t>2025-01-13</t>
        </is>
      </c>
      <c r="B25" t="inlineStr">
        <is>
          <t>Amazon.com</t>
        </is>
      </c>
      <c r="C25" s="2" t="n">
        <v>-132.92</v>
      </c>
      <c r="D25" t="inlineStr">
        <is>
          <t>Shopping</t>
        </is>
      </c>
      <c r="E25" t="inlineStr">
        <is>
          <t>Expense</t>
        </is>
      </c>
      <c r="F25" t="inlineStr">
        <is>
          <t>2025-01</t>
        </is>
      </c>
    </row>
    <row r="26">
      <c r="A26" t="inlineStr">
        <is>
          <t>2025-01-13</t>
        </is>
      </c>
      <c r="B26" t="inlineStr">
        <is>
          <t>Sushi Kama</t>
        </is>
      </c>
      <c r="C26" s="2" t="n">
        <v>-28</v>
      </c>
      <c r="D26" t="inlineStr">
        <is>
          <t>Dining Out</t>
        </is>
      </c>
      <c r="E26" t="inlineStr">
        <is>
          <t>Expense</t>
        </is>
      </c>
      <c r="F26" t="inlineStr">
        <is>
          <t>2025-01</t>
        </is>
      </c>
    </row>
    <row r="27">
      <c r="A27" t="inlineStr">
        <is>
          <t>2025-01-14</t>
        </is>
      </c>
      <c r="B27" t="inlineStr">
        <is>
          <t>Verizon Wireless</t>
        </is>
      </c>
      <c r="C27" s="2" t="n">
        <v>-83.92</v>
      </c>
      <c r="D27" t="inlineStr">
        <is>
          <t>Utilities</t>
        </is>
      </c>
      <c r="E27" t="inlineStr">
        <is>
          <t>Expense</t>
        </is>
      </c>
      <c r="F27" t="inlineStr">
        <is>
          <t>2025-01</t>
        </is>
      </c>
    </row>
    <row r="28">
      <c r="A28" t="inlineStr">
        <is>
          <t>2025-01-14</t>
        </is>
      </c>
      <c r="B28" t="inlineStr">
        <is>
          <t>Starbucks</t>
        </is>
      </c>
      <c r="C28" s="2" t="n">
        <v>-8.91</v>
      </c>
      <c r="D28" t="inlineStr">
        <is>
          <t>Dining Out</t>
        </is>
      </c>
      <c r="E28" t="inlineStr">
        <is>
          <t>Expense</t>
        </is>
      </c>
      <c r="F28" t="inlineStr">
        <is>
          <t>2025-01</t>
        </is>
      </c>
    </row>
    <row r="29">
      <c r="A29" t="inlineStr">
        <is>
          <t>2025-01-15</t>
        </is>
      </c>
      <c r="B29" t="inlineStr">
        <is>
          <t>Employer Payroll Direct Dep</t>
        </is>
      </c>
      <c r="C29" s="2" t="n">
        <v>2650</v>
      </c>
      <c r="D29" t="inlineStr">
        <is>
          <t>Income</t>
        </is>
      </c>
      <c r="E29" t="inlineStr">
        <is>
          <t>Income</t>
        </is>
      </c>
      <c r="F29" t="inlineStr">
        <is>
          <t>2025-01</t>
        </is>
      </c>
    </row>
    <row r="30">
      <c r="A30" t="inlineStr">
        <is>
          <t>2025-01-15</t>
        </is>
      </c>
      <c r="B30" t="inlineStr">
        <is>
          <t>Local Pizza Co</t>
        </is>
      </c>
      <c r="C30" s="2" t="n">
        <v>-19.8</v>
      </c>
      <c r="D30" t="inlineStr">
        <is>
          <t>Dining Out</t>
        </is>
      </c>
      <c r="E30" t="inlineStr">
        <is>
          <t>Expense</t>
        </is>
      </c>
      <c r="F30" t="inlineStr">
        <is>
          <t>2025-01</t>
        </is>
      </c>
    </row>
    <row r="31">
      <c r="A31" t="inlineStr">
        <is>
          <t>2025-01-16</t>
        </is>
      </c>
      <c r="B31" t="inlineStr">
        <is>
          <t>Chevron</t>
        </is>
      </c>
      <c r="C31" s="2" t="n">
        <v>-41.63</v>
      </c>
      <c r="D31" t="inlineStr">
        <is>
          <t>Transportation</t>
        </is>
      </c>
      <c r="E31" t="inlineStr">
        <is>
          <t>Expense</t>
        </is>
      </c>
      <c r="F31" t="inlineStr">
        <is>
          <t>2025-01</t>
        </is>
      </c>
    </row>
    <row r="32">
      <c r="A32" t="inlineStr">
        <is>
          <t>2025-01-17</t>
        </is>
      </c>
      <c r="B32" t="inlineStr">
        <is>
          <t>Airbnb</t>
        </is>
      </c>
      <c r="C32" s="2" t="n">
        <v>-341.8</v>
      </c>
      <c r="D32" t="inlineStr">
        <is>
          <t>Travel</t>
        </is>
      </c>
      <c r="E32" t="inlineStr">
        <is>
          <t>Expense</t>
        </is>
      </c>
      <c r="F32" t="inlineStr">
        <is>
          <t>2025-01</t>
        </is>
      </c>
    </row>
    <row r="33">
      <c r="A33" t="inlineStr">
        <is>
          <t>2025-01-17</t>
        </is>
      </c>
      <c r="B33" t="inlineStr">
        <is>
          <t>Lyft</t>
        </is>
      </c>
      <c r="C33" s="2" t="n">
        <v>-24.26</v>
      </c>
      <c r="D33" t="inlineStr">
        <is>
          <t>Transportation</t>
        </is>
      </c>
      <c r="E33" t="inlineStr">
        <is>
          <t>Expense</t>
        </is>
      </c>
      <c r="F33" t="inlineStr">
        <is>
          <t>2025-01</t>
        </is>
      </c>
    </row>
    <row r="34">
      <c r="A34" t="inlineStr">
        <is>
          <t>2025-01-17</t>
        </is>
      </c>
      <c r="B34" t="inlineStr">
        <is>
          <t>Local Bar &amp; Grill</t>
        </is>
      </c>
      <c r="C34" s="2" t="n">
        <v>-54.83</v>
      </c>
      <c r="D34" t="inlineStr">
        <is>
          <t>Entertainment</t>
        </is>
      </c>
      <c r="E34" t="inlineStr">
        <is>
          <t>Expense</t>
        </is>
      </c>
      <c r="F34" t="inlineStr">
        <is>
          <t>2025-01</t>
        </is>
      </c>
    </row>
    <row r="35">
      <c r="A35" t="inlineStr">
        <is>
          <t>2025-01-18</t>
        </is>
      </c>
      <c r="B35" t="inlineStr">
        <is>
          <t>Amazon Prime</t>
        </is>
      </c>
      <c r="C35" s="2" t="n">
        <v>-14.99</v>
      </c>
      <c r="D35" t="inlineStr">
        <is>
          <t>Subscriptions</t>
        </is>
      </c>
      <c r="E35" t="inlineStr">
        <is>
          <t>Expense</t>
        </is>
      </c>
      <c r="F35" t="inlineStr">
        <is>
          <t>2025-01</t>
        </is>
      </c>
    </row>
    <row r="36">
      <c r="A36" t="inlineStr">
        <is>
          <t>2025-01-18</t>
        </is>
      </c>
      <c r="B36" t="inlineStr">
        <is>
          <t>Marriott Hotels</t>
        </is>
      </c>
      <c r="C36" s="2" t="n">
        <v>-265.95</v>
      </c>
      <c r="D36" t="inlineStr">
        <is>
          <t>Travel</t>
        </is>
      </c>
      <c r="E36" t="inlineStr">
        <is>
          <t>Expense</t>
        </is>
      </c>
      <c r="F36" t="inlineStr">
        <is>
          <t>2025-01</t>
        </is>
      </c>
    </row>
    <row r="37">
      <c r="A37" t="inlineStr">
        <is>
          <t>2025-01-18</t>
        </is>
      </c>
      <c r="B37" t="inlineStr">
        <is>
          <t>Marriott Hotels</t>
        </is>
      </c>
      <c r="C37" s="2" t="n">
        <v>-156.94</v>
      </c>
      <c r="D37" t="inlineStr">
        <is>
          <t>Travel</t>
        </is>
      </c>
      <c r="E37" t="inlineStr">
        <is>
          <t>Expense</t>
        </is>
      </c>
      <c r="F37" t="inlineStr">
        <is>
          <t>2025-01</t>
        </is>
      </c>
    </row>
    <row r="38">
      <c r="A38" t="inlineStr">
        <is>
          <t>2025-01-19</t>
        </is>
      </c>
      <c r="B38" t="inlineStr">
        <is>
          <t>Kaiser Permanente Copay</t>
        </is>
      </c>
      <c r="C38" s="2" t="n">
        <v>-20.42</v>
      </c>
      <c r="D38" t="inlineStr">
        <is>
          <t>Health &amp; Fitness</t>
        </is>
      </c>
      <c r="E38" t="inlineStr">
        <is>
          <t>Expense</t>
        </is>
      </c>
      <c r="F38" t="inlineStr">
        <is>
          <t>2025-01</t>
        </is>
      </c>
    </row>
    <row r="39">
      <c r="A39" t="inlineStr">
        <is>
          <t>2025-01-20</t>
        </is>
      </c>
      <c r="B39" t="inlineStr">
        <is>
          <t>Target</t>
        </is>
      </c>
      <c r="C39" s="2" t="n">
        <v>-20.72</v>
      </c>
      <c r="D39" t="inlineStr">
        <is>
          <t>Shopping</t>
        </is>
      </c>
      <c r="E39" t="inlineStr">
        <is>
          <t>Expense</t>
        </is>
      </c>
      <c r="F39" t="inlineStr">
        <is>
          <t>2025-01</t>
        </is>
      </c>
    </row>
    <row r="40">
      <c r="A40" t="inlineStr">
        <is>
          <t>2025-01-20</t>
        </is>
      </c>
      <c r="B40" t="inlineStr">
        <is>
          <t>Chipotle</t>
        </is>
      </c>
      <c r="C40" s="2" t="n">
        <v>-10.37</v>
      </c>
      <c r="D40" t="inlineStr">
        <is>
          <t>Dining Out</t>
        </is>
      </c>
      <c r="E40" t="inlineStr">
        <is>
          <t>Expense</t>
        </is>
      </c>
      <c r="F40" t="inlineStr">
        <is>
          <t>2025-01</t>
        </is>
      </c>
    </row>
    <row r="41">
      <c r="A41" t="inlineStr">
        <is>
          <t>2025-01-21</t>
        </is>
      </c>
      <c r="B41" t="inlineStr">
        <is>
          <t>Kaiser Permanente Copay</t>
        </is>
      </c>
      <c r="C41" s="2" t="n">
        <v>-21.42</v>
      </c>
      <c r="D41" t="inlineStr">
        <is>
          <t>Health &amp; Fitness</t>
        </is>
      </c>
      <c r="E41" t="inlineStr">
        <is>
          <t>Expense</t>
        </is>
      </c>
      <c r="F41" t="inlineStr">
        <is>
          <t>2025-01</t>
        </is>
      </c>
    </row>
    <row r="42">
      <c r="A42" t="inlineStr">
        <is>
          <t>2025-01-21</t>
        </is>
      </c>
      <c r="B42" t="inlineStr">
        <is>
          <t>Amazon.com</t>
        </is>
      </c>
      <c r="C42" s="2" t="n">
        <v>-48.99</v>
      </c>
      <c r="D42" t="inlineStr">
        <is>
          <t>Shopping</t>
        </is>
      </c>
      <c r="E42" t="inlineStr">
        <is>
          <t>Expense</t>
        </is>
      </c>
      <c r="F42" t="inlineStr">
        <is>
          <t>2025-01</t>
        </is>
      </c>
    </row>
    <row r="43">
      <c r="A43" t="inlineStr">
        <is>
          <t>2025-01-21</t>
        </is>
      </c>
      <c r="B43" t="inlineStr">
        <is>
          <t>PetSmart</t>
        </is>
      </c>
      <c r="C43" s="2" t="n">
        <v>-30.71</v>
      </c>
      <c r="D43" t="inlineStr">
        <is>
          <t>Pets</t>
        </is>
      </c>
      <c r="E43" t="inlineStr">
        <is>
          <t>Expense</t>
        </is>
      </c>
      <c r="F43" t="inlineStr">
        <is>
          <t>2025-01</t>
        </is>
      </c>
    </row>
    <row r="44">
      <c r="A44" t="inlineStr">
        <is>
          <t>2025-01-22</t>
        </is>
      </c>
      <c r="B44" t="inlineStr">
        <is>
          <t>NYTimes Subscription</t>
        </is>
      </c>
      <c r="C44" s="2" t="n">
        <v>-17</v>
      </c>
      <c r="D44" t="inlineStr">
        <is>
          <t>Subscriptions</t>
        </is>
      </c>
      <c r="E44" t="inlineStr">
        <is>
          <t>Expense</t>
        </is>
      </c>
      <c r="F44" t="inlineStr">
        <is>
          <t>2025-01</t>
        </is>
      </c>
    </row>
    <row r="45">
      <c r="A45" t="inlineStr">
        <is>
          <t>2025-01-23</t>
        </is>
      </c>
      <c r="B45" t="inlineStr">
        <is>
          <t>Venmo Payment</t>
        </is>
      </c>
      <c r="C45" s="2" t="n">
        <v>-30.79</v>
      </c>
      <c r="D45" t="inlineStr">
        <is>
          <t>Cash &amp; Misc</t>
        </is>
      </c>
      <c r="E45" t="inlineStr">
        <is>
          <t>Expense</t>
        </is>
      </c>
      <c r="F45" t="inlineStr">
        <is>
          <t>2025-01</t>
        </is>
      </c>
    </row>
    <row r="46">
      <c r="A46" t="inlineStr">
        <is>
          <t>2025-01-23</t>
        </is>
      </c>
      <c r="B46" t="inlineStr">
        <is>
          <t>Venmo Payment</t>
        </is>
      </c>
      <c r="C46" s="2" t="n">
        <v>-67.48999999999999</v>
      </c>
      <c r="D46" t="inlineStr">
        <is>
          <t>Cash &amp; Misc</t>
        </is>
      </c>
      <c r="E46" t="inlineStr">
        <is>
          <t>Expense</t>
        </is>
      </c>
      <c r="F46" t="inlineStr">
        <is>
          <t>2025-01</t>
        </is>
      </c>
    </row>
    <row r="47">
      <c r="A47" t="inlineStr">
        <is>
          <t>2025-01-23</t>
        </is>
      </c>
      <c r="B47" t="inlineStr">
        <is>
          <t>Lyft</t>
        </is>
      </c>
      <c r="C47" s="2" t="n">
        <v>-11.89</v>
      </c>
      <c r="D47" t="inlineStr">
        <is>
          <t>Transportation</t>
        </is>
      </c>
      <c r="E47" t="inlineStr">
        <is>
          <t>Expense</t>
        </is>
      </c>
      <c r="F47" t="inlineStr">
        <is>
          <t>2025-01</t>
        </is>
      </c>
    </row>
    <row r="48">
      <c r="A48" t="inlineStr">
        <is>
          <t>2025-01-24</t>
        </is>
      </c>
      <c r="B48" t="inlineStr">
        <is>
          <t>AMC Theatres</t>
        </is>
      </c>
      <c r="C48" s="2" t="n">
        <v>-20.78</v>
      </c>
      <c r="D48" t="inlineStr">
        <is>
          <t>Entertainment</t>
        </is>
      </c>
      <c r="E48" t="inlineStr">
        <is>
          <t>Expense</t>
        </is>
      </c>
      <c r="F48" t="inlineStr">
        <is>
          <t>2025-01</t>
        </is>
      </c>
    </row>
    <row r="49">
      <c r="A49" t="inlineStr">
        <is>
          <t>2025-01-24</t>
        </is>
      </c>
      <c r="B49" t="inlineStr">
        <is>
          <t>ATM Withdrawal</t>
        </is>
      </c>
      <c r="C49" s="2" t="n">
        <v>-91.83</v>
      </c>
      <c r="D49" t="inlineStr">
        <is>
          <t>Cash &amp; Misc</t>
        </is>
      </c>
      <c r="E49" t="inlineStr">
        <is>
          <t>Expense</t>
        </is>
      </c>
      <c r="F49" t="inlineStr">
        <is>
          <t>2025-01</t>
        </is>
      </c>
    </row>
    <row r="50">
      <c r="A50" t="inlineStr">
        <is>
          <t>2025-01-25</t>
        </is>
      </c>
      <c r="B50" t="inlineStr">
        <is>
          <t>Student Loan Servicer</t>
        </is>
      </c>
      <c r="C50" s="2" t="n">
        <v>-220</v>
      </c>
      <c r="D50" t="inlineStr">
        <is>
          <t>Debt Payments</t>
        </is>
      </c>
      <c r="E50" t="inlineStr">
        <is>
          <t>Expense</t>
        </is>
      </c>
      <c r="F50" t="inlineStr">
        <is>
          <t>2025-01</t>
        </is>
      </c>
    </row>
    <row r="51">
      <c r="A51" t="inlineStr">
        <is>
          <t>2025-01-26</t>
        </is>
      </c>
      <c r="B51" t="inlineStr">
        <is>
          <t>DoorDash</t>
        </is>
      </c>
      <c r="C51" s="2" t="n">
        <v>-19.64</v>
      </c>
      <c r="D51" t="inlineStr">
        <is>
          <t>Dining Out</t>
        </is>
      </c>
      <c r="E51" t="inlineStr">
        <is>
          <t>Expense</t>
        </is>
      </c>
      <c r="F51" t="inlineStr">
        <is>
          <t>2025-01</t>
        </is>
      </c>
    </row>
    <row r="52">
      <c r="A52" t="inlineStr">
        <is>
          <t>2025-01-26</t>
        </is>
      </c>
      <c r="B52" t="inlineStr">
        <is>
          <t>Kaiser Permanente Copay</t>
        </is>
      </c>
      <c r="C52" s="2" t="n">
        <v>-36.01</v>
      </c>
      <c r="D52" t="inlineStr">
        <is>
          <t>Health &amp; Fitness</t>
        </is>
      </c>
      <c r="E52" t="inlineStr">
        <is>
          <t>Expense</t>
        </is>
      </c>
      <c r="F52" t="inlineStr">
        <is>
          <t>2025-01</t>
        </is>
      </c>
    </row>
    <row r="53">
      <c r="A53" t="inlineStr">
        <is>
          <t>2025-01-28</t>
        </is>
      </c>
      <c r="B53" t="inlineStr">
        <is>
          <t>Marriott Hotels</t>
        </is>
      </c>
      <c r="C53" s="2" t="n">
        <v>-159.63</v>
      </c>
      <c r="D53" t="inlineStr">
        <is>
          <t>Travel</t>
        </is>
      </c>
      <c r="E53" t="inlineStr">
        <is>
          <t>Expense</t>
        </is>
      </c>
      <c r="F53" t="inlineStr">
        <is>
          <t>2025-01</t>
        </is>
      </c>
    </row>
    <row r="54">
      <c r="A54" t="inlineStr">
        <is>
          <t>2025-01-29</t>
        </is>
      </c>
      <c r="B54" t="inlineStr">
        <is>
          <t>Employer Payroll Direct Dep</t>
        </is>
      </c>
      <c r="C54" s="2" t="n">
        <v>2650</v>
      </c>
      <c r="D54" t="inlineStr">
        <is>
          <t>Income</t>
        </is>
      </c>
      <c r="E54" t="inlineStr">
        <is>
          <t>Income</t>
        </is>
      </c>
      <c r="F54" t="inlineStr">
        <is>
          <t>2025-01</t>
        </is>
      </c>
    </row>
    <row r="55">
      <c r="A55" t="inlineStr">
        <is>
          <t>2025-01-29</t>
        </is>
      </c>
      <c r="B55" t="inlineStr">
        <is>
          <t>ATM Withdrawal</t>
        </is>
      </c>
      <c r="C55" s="2" t="n">
        <v>-54.99</v>
      </c>
      <c r="D55" t="inlineStr">
        <is>
          <t>Cash &amp; Misc</t>
        </is>
      </c>
      <c r="E55" t="inlineStr">
        <is>
          <t>Expense</t>
        </is>
      </c>
      <c r="F55" t="inlineStr">
        <is>
          <t>2025-01</t>
        </is>
      </c>
    </row>
    <row r="56">
      <c r="A56" t="inlineStr">
        <is>
          <t>2025-01-30</t>
        </is>
      </c>
      <c r="B56" t="inlineStr">
        <is>
          <t>Marriott Hotels</t>
        </is>
      </c>
      <c r="C56" s="2" t="n">
        <v>-253.12</v>
      </c>
      <c r="D56" t="inlineStr">
        <is>
          <t>Travel</t>
        </is>
      </c>
      <c r="E56" t="inlineStr">
        <is>
          <t>Expense</t>
        </is>
      </c>
      <c r="F56" t="inlineStr">
        <is>
          <t>2025-01</t>
        </is>
      </c>
    </row>
    <row r="57">
      <c r="A57" t="inlineStr">
        <is>
          <t>2025-01-30</t>
        </is>
      </c>
      <c r="B57" t="inlineStr">
        <is>
          <t>DoorDash</t>
        </is>
      </c>
      <c r="C57" s="2" t="n">
        <v>-19.37</v>
      </c>
      <c r="D57" t="inlineStr">
        <is>
          <t>Dining Out</t>
        </is>
      </c>
      <c r="E57" t="inlineStr">
        <is>
          <t>Expense</t>
        </is>
      </c>
      <c r="F57" t="inlineStr">
        <is>
          <t>2025-01</t>
        </is>
      </c>
    </row>
    <row r="58">
      <c r="A58" t="inlineStr">
        <is>
          <t>2025-01-30</t>
        </is>
      </c>
      <c r="B58" t="inlineStr">
        <is>
          <t>Trader Joe's</t>
        </is>
      </c>
      <c r="C58" s="2" t="n">
        <v>-87.98</v>
      </c>
      <c r="D58" t="inlineStr">
        <is>
          <t>Groceries</t>
        </is>
      </c>
      <c r="E58" t="inlineStr">
        <is>
          <t>Expense</t>
        </is>
      </c>
      <c r="F58" t="inlineStr">
        <is>
          <t>2025-01</t>
        </is>
      </c>
    </row>
    <row r="59">
      <c r="A59" t="inlineStr">
        <is>
          <t>2025-01-31</t>
        </is>
      </c>
      <c r="B59" t="inlineStr">
        <is>
          <t>Amazon.com</t>
        </is>
      </c>
      <c r="C59" s="2" t="n">
        <v>-33.28</v>
      </c>
      <c r="D59" t="inlineStr">
        <is>
          <t>Shopping</t>
        </is>
      </c>
      <c r="E59" t="inlineStr">
        <is>
          <t>Expense</t>
        </is>
      </c>
      <c r="F59" t="inlineStr">
        <is>
          <t>2025-01</t>
        </is>
      </c>
    </row>
    <row r="60">
      <c r="A60" t="inlineStr">
        <is>
          <t>2025-01-31</t>
        </is>
      </c>
      <c r="B60" t="inlineStr">
        <is>
          <t>PetSmart</t>
        </is>
      </c>
      <c r="C60" s="2" t="n">
        <v>-44.07</v>
      </c>
      <c r="D60" t="inlineStr">
        <is>
          <t>Pets</t>
        </is>
      </c>
      <c r="E60" t="inlineStr">
        <is>
          <t>Expense</t>
        </is>
      </c>
      <c r="F60" t="inlineStr">
        <is>
          <t>2025-01</t>
        </is>
      </c>
    </row>
    <row r="61">
      <c r="A61" t="inlineStr">
        <is>
          <t>2025-01-31</t>
        </is>
      </c>
      <c r="B61" t="inlineStr">
        <is>
          <t>Local Bar &amp; Grill</t>
        </is>
      </c>
      <c r="C61" s="2" t="n">
        <v>-51.59</v>
      </c>
      <c r="D61" t="inlineStr">
        <is>
          <t>Entertainment</t>
        </is>
      </c>
      <c r="E61" t="inlineStr">
        <is>
          <t>Expense</t>
        </is>
      </c>
      <c r="F61" t="inlineStr">
        <is>
          <t>2025-01</t>
        </is>
      </c>
    </row>
    <row r="62">
      <c r="A62" t="inlineStr">
        <is>
          <t>2025-02-01</t>
        </is>
      </c>
      <c r="B62" t="inlineStr">
        <is>
          <t>Rent Payment - Sunrise Apartments</t>
        </is>
      </c>
      <c r="C62" s="2" t="n">
        <v>-1450</v>
      </c>
      <c r="D62" t="inlineStr">
        <is>
          <t>Housing</t>
        </is>
      </c>
      <c r="E62" t="inlineStr">
        <is>
          <t>Expense</t>
        </is>
      </c>
      <c r="F62" t="inlineStr">
        <is>
          <t>2025-02</t>
        </is>
      </c>
    </row>
    <row r="63">
      <c r="A63" t="inlineStr">
        <is>
          <t>2025-02-01</t>
        </is>
      </c>
      <c r="B63" t="inlineStr">
        <is>
          <t>Trader Joe's</t>
        </is>
      </c>
      <c r="C63" s="2" t="n">
        <v>-89.05</v>
      </c>
      <c r="D63" t="inlineStr">
        <is>
          <t>Groceries</t>
        </is>
      </c>
      <c r="E63" t="inlineStr">
        <is>
          <t>Expense</t>
        </is>
      </c>
      <c r="F63" t="inlineStr">
        <is>
          <t>2025-02</t>
        </is>
      </c>
    </row>
    <row r="64">
      <c r="A64" t="inlineStr">
        <is>
          <t>2025-02-02</t>
        </is>
      </c>
      <c r="B64" t="inlineStr">
        <is>
          <t>ATM Withdrawal</t>
        </is>
      </c>
      <c r="C64" s="2" t="n">
        <v>-57.11</v>
      </c>
      <c r="D64" t="inlineStr">
        <is>
          <t>Cash &amp; Misc</t>
        </is>
      </c>
      <c r="E64" t="inlineStr">
        <is>
          <t>Expense</t>
        </is>
      </c>
      <c r="F64" t="inlineStr">
        <is>
          <t>2025-02</t>
        </is>
      </c>
    </row>
    <row r="65">
      <c r="A65" t="inlineStr">
        <is>
          <t>2025-02-03</t>
        </is>
      </c>
      <c r="B65" t="inlineStr">
        <is>
          <t>Geico Insurance</t>
        </is>
      </c>
      <c r="C65" s="2" t="n">
        <v>-135.27</v>
      </c>
      <c r="D65" t="inlineStr">
        <is>
          <t>Insurance</t>
        </is>
      </c>
      <c r="E65" t="inlineStr">
        <is>
          <t>Expense</t>
        </is>
      </c>
      <c r="F65" t="inlineStr">
        <is>
          <t>2025-02</t>
        </is>
      </c>
    </row>
    <row r="66">
      <c r="A66" t="inlineStr">
        <is>
          <t>2025-02-03</t>
        </is>
      </c>
      <c r="B66" t="inlineStr">
        <is>
          <t>PetSmart</t>
        </is>
      </c>
      <c r="C66" s="2" t="n">
        <v>-27.74</v>
      </c>
      <c r="D66" t="inlineStr">
        <is>
          <t>Pets</t>
        </is>
      </c>
      <c r="E66" t="inlineStr">
        <is>
          <t>Expense</t>
        </is>
      </c>
      <c r="F66" t="inlineStr">
        <is>
          <t>2025-02</t>
        </is>
      </c>
    </row>
    <row r="67">
      <c r="A67" t="inlineStr">
        <is>
          <t>2025-02-03</t>
        </is>
      </c>
      <c r="B67" t="inlineStr">
        <is>
          <t>REI</t>
        </is>
      </c>
      <c r="C67" s="2" t="n">
        <v>-70.48</v>
      </c>
      <c r="D67" t="inlineStr">
        <is>
          <t>Shopping</t>
        </is>
      </c>
      <c r="E67" t="inlineStr">
        <is>
          <t>Expense</t>
        </is>
      </c>
      <c r="F67" t="inlineStr">
        <is>
          <t>2025-02</t>
        </is>
      </c>
    </row>
    <row r="68">
      <c r="A68" t="inlineStr">
        <is>
          <t>2025-02-04</t>
        </is>
      </c>
      <c r="B68" t="inlineStr">
        <is>
          <t>Planet Fitness</t>
        </is>
      </c>
      <c r="C68" s="2" t="n">
        <v>-24.99</v>
      </c>
      <c r="D68" t="inlineStr">
        <is>
          <t>Health &amp; Fitness</t>
        </is>
      </c>
      <c r="E68" t="inlineStr">
        <is>
          <t>Expense</t>
        </is>
      </c>
      <c r="F68" t="inlineStr">
        <is>
          <t>2025-02</t>
        </is>
      </c>
    </row>
    <row r="69">
      <c r="A69" t="inlineStr">
        <is>
          <t>2025-02-05</t>
        </is>
      </c>
      <c r="B69" t="inlineStr">
        <is>
          <t>Netflix.com</t>
        </is>
      </c>
      <c r="C69" s="2" t="n">
        <v>-15.49</v>
      </c>
      <c r="D69" t="inlineStr">
        <is>
          <t>Subscriptions</t>
        </is>
      </c>
      <c r="E69" t="inlineStr">
        <is>
          <t>Expense</t>
        </is>
      </c>
      <c r="F69" t="inlineStr">
        <is>
          <t>2025-02</t>
        </is>
      </c>
    </row>
    <row r="70">
      <c r="A70" t="inlineStr">
        <is>
          <t>2025-02-05</t>
        </is>
      </c>
      <c r="B70" t="inlineStr">
        <is>
          <t>Chipotle</t>
        </is>
      </c>
      <c r="C70" s="2" t="n">
        <v>-13.49</v>
      </c>
      <c r="D70" t="inlineStr">
        <is>
          <t>Dining Out</t>
        </is>
      </c>
      <c r="E70" t="inlineStr">
        <is>
          <t>Expense</t>
        </is>
      </c>
      <c r="F70" t="inlineStr">
        <is>
          <t>2025-02</t>
        </is>
      </c>
    </row>
    <row r="71">
      <c r="A71" t="inlineStr">
        <is>
          <t>2025-02-05</t>
        </is>
      </c>
      <c r="B71" t="inlineStr">
        <is>
          <t>Chipotle</t>
        </is>
      </c>
      <c r="C71" s="2" t="n">
        <v>-9.300000000000001</v>
      </c>
      <c r="D71" t="inlineStr">
        <is>
          <t>Dining Out</t>
        </is>
      </c>
      <c r="E71" t="inlineStr">
        <is>
          <t>Expense</t>
        </is>
      </c>
      <c r="F71" t="inlineStr">
        <is>
          <t>2025-02</t>
        </is>
      </c>
    </row>
    <row r="72">
      <c r="A72" t="inlineStr">
        <is>
          <t>2025-02-06</t>
        </is>
      </c>
      <c r="B72" t="inlineStr">
        <is>
          <t>Chevron</t>
        </is>
      </c>
      <c r="C72" s="2" t="n">
        <v>-36.42</v>
      </c>
      <c r="D72" t="inlineStr">
        <is>
          <t>Transportation</t>
        </is>
      </c>
      <c r="E72" t="inlineStr">
        <is>
          <t>Expense</t>
        </is>
      </c>
      <c r="F72" t="inlineStr">
        <is>
          <t>2025-02</t>
        </is>
      </c>
    </row>
    <row r="73">
      <c r="A73" t="inlineStr">
        <is>
          <t>2025-02-07</t>
        </is>
      </c>
      <c r="B73" t="inlineStr">
        <is>
          <t>Spotify USA</t>
        </is>
      </c>
      <c r="C73" s="2" t="n">
        <v>-11.99</v>
      </c>
      <c r="D73" t="inlineStr">
        <is>
          <t>Subscriptions</t>
        </is>
      </c>
      <c r="E73" t="inlineStr">
        <is>
          <t>Expense</t>
        </is>
      </c>
      <c r="F73" t="inlineStr">
        <is>
          <t>2025-02</t>
        </is>
      </c>
    </row>
    <row r="74">
      <c r="A74" t="inlineStr">
        <is>
          <t>2025-02-07</t>
        </is>
      </c>
      <c r="B74" t="inlineStr">
        <is>
          <t>Uber</t>
        </is>
      </c>
      <c r="C74" s="2" t="n">
        <v>-13.58</v>
      </c>
      <c r="D74" t="inlineStr">
        <is>
          <t>Transportation</t>
        </is>
      </c>
      <c r="E74" t="inlineStr">
        <is>
          <t>Expense</t>
        </is>
      </c>
      <c r="F74" t="inlineStr">
        <is>
          <t>2025-02</t>
        </is>
      </c>
    </row>
    <row r="75">
      <c r="A75" t="inlineStr">
        <is>
          <t>2025-02-09</t>
        </is>
      </c>
      <c r="B75" t="inlineStr">
        <is>
          <t>Local Bar &amp; Grill</t>
        </is>
      </c>
      <c r="C75" s="2" t="n">
        <v>-24.2</v>
      </c>
      <c r="D75" t="inlineStr">
        <is>
          <t>Entertainment</t>
        </is>
      </c>
      <c r="E75" t="inlineStr">
        <is>
          <t>Expense</t>
        </is>
      </c>
      <c r="F75" t="inlineStr">
        <is>
          <t>2025-02</t>
        </is>
      </c>
    </row>
    <row r="76">
      <c r="A76" t="inlineStr">
        <is>
          <t>2025-02-09</t>
        </is>
      </c>
      <c r="B76" t="inlineStr">
        <is>
          <t>Amazon.com</t>
        </is>
      </c>
      <c r="C76" s="2" t="n">
        <v>-91.05</v>
      </c>
      <c r="D76" t="inlineStr">
        <is>
          <t>Shopping</t>
        </is>
      </c>
      <c r="E76" t="inlineStr">
        <is>
          <t>Expense</t>
        </is>
      </c>
      <c r="F76" t="inlineStr">
        <is>
          <t>2025-02</t>
        </is>
      </c>
    </row>
    <row r="77">
      <c r="A77" t="inlineStr">
        <is>
          <t>2025-02-09</t>
        </is>
      </c>
      <c r="B77" t="inlineStr">
        <is>
          <t>Whole Foods Market</t>
        </is>
      </c>
      <c r="C77" s="2" t="n">
        <v>-60.26</v>
      </c>
      <c r="D77" t="inlineStr">
        <is>
          <t>Groceries</t>
        </is>
      </c>
      <c r="E77" t="inlineStr">
        <is>
          <t>Expense</t>
        </is>
      </c>
      <c r="F77" t="inlineStr">
        <is>
          <t>2025-02</t>
        </is>
      </c>
    </row>
    <row r="78">
      <c r="A78" t="inlineStr">
        <is>
          <t>2025-02-10</t>
        </is>
      </c>
      <c r="B78" t="inlineStr">
        <is>
          <t>Comcast Xfinity</t>
        </is>
      </c>
      <c r="C78" s="2" t="n">
        <v>-90.45</v>
      </c>
      <c r="D78" t="inlineStr">
        <is>
          <t>Utilities</t>
        </is>
      </c>
      <c r="E78" t="inlineStr">
        <is>
          <t>Expense</t>
        </is>
      </c>
      <c r="F78" t="inlineStr">
        <is>
          <t>2025-02</t>
        </is>
      </c>
    </row>
    <row r="79">
      <c r="A79" t="inlineStr">
        <is>
          <t>2025-02-10</t>
        </is>
      </c>
      <c r="B79" t="inlineStr">
        <is>
          <t>Walgreens</t>
        </is>
      </c>
      <c r="C79" s="2" t="n">
        <v>-37.91</v>
      </c>
      <c r="D79" t="inlineStr">
        <is>
          <t>Health &amp; Fitness</t>
        </is>
      </c>
      <c r="E79" t="inlineStr">
        <is>
          <t>Expense</t>
        </is>
      </c>
      <c r="F79" t="inlineStr">
        <is>
          <t>2025-02</t>
        </is>
      </c>
    </row>
    <row r="80">
      <c r="A80" t="inlineStr">
        <is>
          <t>2025-02-11</t>
        </is>
      </c>
      <c r="B80" t="inlineStr">
        <is>
          <t>Walgreens</t>
        </is>
      </c>
      <c r="C80" s="2" t="n">
        <v>-15.64</v>
      </c>
      <c r="D80" t="inlineStr">
        <is>
          <t>Health &amp; Fitness</t>
        </is>
      </c>
      <c r="E80" t="inlineStr">
        <is>
          <t>Expense</t>
        </is>
      </c>
      <c r="F80" t="inlineStr">
        <is>
          <t>2025-02</t>
        </is>
      </c>
    </row>
    <row r="81">
      <c r="A81" t="inlineStr">
        <is>
          <t>2025-02-12</t>
        </is>
      </c>
      <c r="B81" t="inlineStr">
        <is>
          <t>PG&amp;E Electric</t>
        </is>
      </c>
      <c r="C81" s="2" t="n">
        <v>-75.43000000000001</v>
      </c>
      <c r="D81" t="inlineStr">
        <is>
          <t>Utilities</t>
        </is>
      </c>
      <c r="E81" t="inlineStr">
        <is>
          <t>Expense</t>
        </is>
      </c>
      <c r="F81" t="inlineStr">
        <is>
          <t>2025-02</t>
        </is>
      </c>
    </row>
    <row r="82">
      <c r="A82" t="inlineStr">
        <is>
          <t>2025-02-12</t>
        </is>
      </c>
      <c r="B82" t="inlineStr">
        <is>
          <t>Employer Payroll Direct Dep</t>
        </is>
      </c>
      <c r="C82" s="2" t="n">
        <v>2650</v>
      </c>
      <c r="D82" t="inlineStr">
        <is>
          <t>Income</t>
        </is>
      </c>
      <c r="E82" t="inlineStr">
        <is>
          <t>Income</t>
        </is>
      </c>
      <c r="F82" t="inlineStr">
        <is>
          <t>2025-02</t>
        </is>
      </c>
    </row>
    <row r="83">
      <c r="A83" t="inlineStr">
        <is>
          <t>2025-02-12</t>
        </is>
      </c>
      <c r="B83" t="inlineStr">
        <is>
          <t>CVS Pharmacy</t>
        </is>
      </c>
      <c r="C83" s="2" t="n">
        <v>-24.92</v>
      </c>
      <c r="D83" t="inlineStr">
        <is>
          <t>Health &amp; Fitness</t>
        </is>
      </c>
      <c r="E83" t="inlineStr">
        <is>
          <t>Expense</t>
        </is>
      </c>
      <c r="F83" t="inlineStr">
        <is>
          <t>2025-02</t>
        </is>
      </c>
    </row>
    <row r="84">
      <c r="A84" t="inlineStr">
        <is>
          <t>2025-02-13</t>
        </is>
      </c>
      <c r="B84" t="inlineStr">
        <is>
          <t>Starbucks</t>
        </is>
      </c>
      <c r="C84" s="2" t="n">
        <v>-5.04</v>
      </c>
      <c r="D84" t="inlineStr">
        <is>
          <t>Dining Out</t>
        </is>
      </c>
      <c r="E84" t="inlineStr">
        <is>
          <t>Expense</t>
        </is>
      </c>
      <c r="F84" t="inlineStr">
        <is>
          <t>2025-02</t>
        </is>
      </c>
    </row>
    <row r="85">
      <c r="A85" t="inlineStr">
        <is>
          <t>2025-02-13</t>
        </is>
      </c>
      <c r="B85" t="inlineStr">
        <is>
          <t>DoorDash</t>
        </is>
      </c>
      <c r="C85" s="2" t="n">
        <v>-19.98</v>
      </c>
      <c r="D85" t="inlineStr">
        <is>
          <t>Dining Out</t>
        </is>
      </c>
      <c r="E85" t="inlineStr">
        <is>
          <t>Expense</t>
        </is>
      </c>
      <c r="F85" t="inlineStr">
        <is>
          <t>2025-02</t>
        </is>
      </c>
    </row>
    <row r="86">
      <c r="A86" t="inlineStr">
        <is>
          <t>2025-02-13</t>
        </is>
      </c>
      <c r="B86" t="inlineStr">
        <is>
          <t>Bay Area Rapid Transit</t>
        </is>
      </c>
      <c r="C86" s="2" t="n">
        <v>-10.06</v>
      </c>
      <c r="D86" t="inlineStr">
        <is>
          <t>Transportation</t>
        </is>
      </c>
      <c r="E86" t="inlineStr">
        <is>
          <t>Expense</t>
        </is>
      </c>
      <c r="F86" t="inlineStr">
        <is>
          <t>2025-02</t>
        </is>
      </c>
    </row>
    <row r="87">
      <c r="A87" t="inlineStr">
        <is>
          <t>2025-02-14</t>
        </is>
      </c>
      <c r="B87" t="inlineStr">
        <is>
          <t>Verizon Wireless</t>
        </is>
      </c>
      <c r="C87" s="2" t="n">
        <v>-80.89</v>
      </c>
      <c r="D87" t="inlineStr">
        <is>
          <t>Utilities</t>
        </is>
      </c>
      <c r="E87" t="inlineStr">
        <is>
          <t>Expense</t>
        </is>
      </c>
      <c r="F87" t="inlineStr">
        <is>
          <t>2025-02</t>
        </is>
      </c>
    </row>
    <row r="88">
      <c r="A88" t="inlineStr">
        <is>
          <t>2025-02-15</t>
        </is>
      </c>
      <c r="B88" t="inlineStr">
        <is>
          <t>Starbucks</t>
        </is>
      </c>
      <c r="C88" s="2" t="n">
        <v>-8.52</v>
      </c>
      <c r="D88" t="inlineStr">
        <is>
          <t>Dining Out</t>
        </is>
      </c>
      <c r="E88" t="inlineStr">
        <is>
          <t>Expense</t>
        </is>
      </c>
      <c r="F88" t="inlineStr">
        <is>
          <t>2025-02</t>
        </is>
      </c>
    </row>
    <row r="89">
      <c r="A89" t="inlineStr">
        <is>
          <t>2025-02-16</t>
        </is>
      </c>
      <c r="B89" t="inlineStr">
        <is>
          <t>Chevron</t>
        </is>
      </c>
      <c r="C89" s="2" t="n">
        <v>-45.95</v>
      </c>
      <c r="D89" t="inlineStr">
        <is>
          <t>Transportation</t>
        </is>
      </c>
      <c r="E89" t="inlineStr">
        <is>
          <t>Expense</t>
        </is>
      </c>
      <c r="F89" t="inlineStr">
        <is>
          <t>2025-02</t>
        </is>
      </c>
    </row>
    <row r="90">
      <c r="A90" t="inlineStr">
        <is>
          <t>2025-02-17</t>
        </is>
      </c>
      <c r="B90" t="inlineStr">
        <is>
          <t>CVS Pharmacy</t>
        </is>
      </c>
      <c r="C90" s="2" t="n">
        <v>-30.63</v>
      </c>
      <c r="D90" t="inlineStr">
        <is>
          <t>Health &amp; Fitness</t>
        </is>
      </c>
      <c r="E90" t="inlineStr">
        <is>
          <t>Expense</t>
        </is>
      </c>
      <c r="F90" t="inlineStr">
        <is>
          <t>2025-02</t>
        </is>
      </c>
    </row>
    <row r="91">
      <c r="A91" t="inlineStr">
        <is>
          <t>2025-02-18</t>
        </is>
      </c>
      <c r="B91" t="inlineStr">
        <is>
          <t>Amazon Prime</t>
        </is>
      </c>
      <c r="C91" s="2" t="n">
        <v>-14.99</v>
      </c>
      <c r="D91" t="inlineStr">
        <is>
          <t>Subscriptions</t>
        </is>
      </c>
      <c r="E91" t="inlineStr">
        <is>
          <t>Expense</t>
        </is>
      </c>
      <c r="F91" t="inlineStr">
        <is>
          <t>2025-02</t>
        </is>
      </c>
    </row>
    <row r="92">
      <c r="A92" t="inlineStr">
        <is>
          <t>2025-02-18</t>
        </is>
      </c>
      <c r="B92" t="inlineStr">
        <is>
          <t>Trader Joe's</t>
        </is>
      </c>
      <c r="C92" s="2" t="n">
        <v>-68.41</v>
      </c>
      <c r="D92" t="inlineStr">
        <is>
          <t>Groceries</t>
        </is>
      </c>
      <c r="E92" t="inlineStr">
        <is>
          <t>Expense</t>
        </is>
      </c>
      <c r="F92" t="inlineStr">
        <is>
          <t>2025-02</t>
        </is>
      </c>
    </row>
    <row r="93">
      <c r="A93" t="inlineStr">
        <is>
          <t>2025-02-18</t>
        </is>
      </c>
      <c r="B93" t="inlineStr">
        <is>
          <t>CVS Pharmacy</t>
        </is>
      </c>
      <c r="C93" s="2" t="n">
        <v>-42.47</v>
      </c>
      <c r="D93" t="inlineStr">
        <is>
          <t>Health &amp; Fitness</t>
        </is>
      </c>
      <c r="E93" t="inlineStr">
        <is>
          <t>Expense</t>
        </is>
      </c>
      <c r="F93" t="inlineStr">
        <is>
          <t>2025-02</t>
        </is>
      </c>
    </row>
    <row r="94">
      <c r="A94" t="inlineStr">
        <is>
          <t>2025-02-18</t>
        </is>
      </c>
      <c r="B94" t="inlineStr">
        <is>
          <t>DoorDash</t>
        </is>
      </c>
      <c r="C94" s="2" t="n">
        <v>-43.35</v>
      </c>
      <c r="D94" t="inlineStr">
        <is>
          <t>Dining Out</t>
        </is>
      </c>
      <c r="E94" t="inlineStr">
        <is>
          <t>Expense</t>
        </is>
      </c>
      <c r="F94" t="inlineStr">
        <is>
          <t>2025-02</t>
        </is>
      </c>
    </row>
    <row r="95">
      <c r="A95" t="inlineStr">
        <is>
          <t>2025-02-22</t>
        </is>
      </c>
      <c r="B95" t="inlineStr">
        <is>
          <t>NYTimes Subscription</t>
        </is>
      </c>
      <c r="C95" s="2" t="n">
        <v>-17</v>
      </c>
      <c r="D95" t="inlineStr">
        <is>
          <t>Subscriptions</t>
        </is>
      </c>
      <c r="E95" t="inlineStr">
        <is>
          <t>Expense</t>
        </is>
      </c>
      <c r="F95" t="inlineStr">
        <is>
          <t>2025-02</t>
        </is>
      </c>
    </row>
    <row r="96">
      <c r="A96" t="inlineStr">
        <is>
          <t>2025-02-22</t>
        </is>
      </c>
      <c r="B96" t="inlineStr">
        <is>
          <t>H&amp;M</t>
        </is>
      </c>
      <c r="C96" s="2" t="n">
        <v>-43.31</v>
      </c>
      <c r="D96" t="inlineStr">
        <is>
          <t>Shopping</t>
        </is>
      </c>
      <c r="E96" t="inlineStr">
        <is>
          <t>Expense</t>
        </is>
      </c>
      <c r="F96" t="inlineStr">
        <is>
          <t>2025-02</t>
        </is>
      </c>
    </row>
    <row r="97">
      <c r="A97" t="inlineStr">
        <is>
          <t>2025-02-22</t>
        </is>
      </c>
      <c r="B97" t="inlineStr">
        <is>
          <t>Bay Area Rapid Transit</t>
        </is>
      </c>
      <c r="C97" s="2" t="n">
        <v>-12.18</v>
      </c>
      <c r="D97" t="inlineStr">
        <is>
          <t>Transportation</t>
        </is>
      </c>
      <c r="E97" t="inlineStr">
        <is>
          <t>Expense</t>
        </is>
      </c>
      <c r="F97" t="inlineStr">
        <is>
          <t>2025-02</t>
        </is>
      </c>
    </row>
    <row r="98">
      <c r="A98" t="inlineStr">
        <is>
          <t>2025-02-23</t>
        </is>
      </c>
      <c r="B98" t="inlineStr">
        <is>
          <t>Best Buy</t>
        </is>
      </c>
      <c r="C98" s="2" t="n">
        <v>-166.46</v>
      </c>
      <c r="D98" t="inlineStr">
        <is>
          <t>Shopping</t>
        </is>
      </c>
      <c r="E98" t="inlineStr">
        <is>
          <t>Expense</t>
        </is>
      </c>
      <c r="F98" t="inlineStr">
        <is>
          <t>2025-02</t>
        </is>
      </c>
    </row>
    <row r="99">
      <c r="A99" t="inlineStr">
        <is>
          <t>2025-02-24</t>
        </is>
      </c>
      <c r="B99" t="inlineStr">
        <is>
          <t>Chipotle</t>
        </is>
      </c>
      <c r="C99" s="2" t="n">
        <v>-9.550000000000001</v>
      </c>
      <c r="D99" t="inlineStr">
        <is>
          <t>Dining Out</t>
        </is>
      </c>
      <c r="E99" t="inlineStr">
        <is>
          <t>Expense</t>
        </is>
      </c>
      <c r="F99" t="inlineStr">
        <is>
          <t>2025-02</t>
        </is>
      </c>
    </row>
    <row r="100">
      <c r="A100" t="inlineStr">
        <is>
          <t>2025-02-25</t>
        </is>
      </c>
      <c r="B100" t="inlineStr">
        <is>
          <t>Student Loan Servicer</t>
        </is>
      </c>
      <c r="C100" s="2" t="n">
        <v>-220</v>
      </c>
      <c r="D100" t="inlineStr">
        <is>
          <t>Debt Payments</t>
        </is>
      </c>
      <c r="E100" t="inlineStr">
        <is>
          <t>Expense</t>
        </is>
      </c>
      <c r="F100" t="inlineStr">
        <is>
          <t>2025-02</t>
        </is>
      </c>
    </row>
    <row r="101">
      <c r="A101" t="inlineStr">
        <is>
          <t>2025-02-25</t>
        </is>
      </c>
      <c r="B101" t="inlineStr">
        <is>
          <t>H&amp;M</t>
        </is>
      </c>
      <c r="C101" s="2" t="n">
        <v>-27.87</v>
      </c>
      <c r="D101" t="inlineStr">
        <is>
          <t>Shopping</t>
        </is>
      </c>
      <c r="E101" t="inlineStr">
        <is>
          <t>Expense</t>
        </is>
      </c>
      <c r="F101" t="inlineStr">
        <is>
          <t>2025-02</t>
        </is>
      </c>
    </row>
    <row r="102">
      <c r="A102" t="inlineStr">
        <is>
          <t>2025-02-26</t>
        </is>
      </c>
      <c r="B102" t="inlineStr">
        <is>
          <t>Employer Payroll Direct Dep</t>
        </is>
      </c>
      <c r="C102" s="2" t="n">
        <v>2650</v>
      </c>
      <c r="D102" t="inlineStr">
        <is>
          <t>Income</t>
        </is>
      </c>
      <c r="E102" t="inlineStr">
        <is>
          <t>Income</t>
        </is>
      </c>
      <c r="F102" t="inlineStr">
        <is>
          <t>2025-02</t>
        </is>
      </c>
    </row>
    <row r="103">
      <c r="A103" t="inlineStr">
        <is>
          <t>2025-02-26</t>
        </is>
      </c>
      <c r="B103" t="inlineStr">
        <is>
          <t>Local Pizza Co</t>
        </is>
      </c>
      <c r="C103" s="2" t="n">
        <v>-26.92</v>
      </c>
      <c r="D103" t="inlineStr">
        <is>
          <t>Dining Out</t>
        </is>
      </c>
      <c r="E103" t="inlineStr">
        <is>
          <t>Expense</t>
        </is>
      </c>
      <c r="F103" t="inlineStr">
        <is>
          <t>2025-02</t>
        </is>
      </c>
    </row>
    <row r="104">
      <c r="A104" t="inlineStr">
        <is>
          <t>2025-02-27</t>
        </is>
      </c>
      <c r="B104" t="inlineStr">
        <is>
          <t>Marriott Hotels</t>
        </is>
      </c>
      <c r="C104" s="2" t="n">
        <v>-217.24</v>
      </c>
      <c r="D104" t="inlineStr">
        <is>
          <t>Travel</t>
        </is>
      </c>
      <c r="E104" t="inlineStr">
        <is>
          <t>Expense</t>
        </is>
      </c>
      <c r="F104" t="inlineStr">
        <is>
          <t>2025-02</t>
        </is>
      </c>
    </row>
    <row r="105">
      <c r="A105" t="inlineStr">
        <is>
          <t>2025-02-28</t>
        </is>
      </c>
      <c r="B105" t="inlineStr">
        <is>
          <t>Trader Joe's</t>
        </is>
      </c>
      <c r="C105" s="2" t="n">
        <v>-32.27</v>
      </c>
      <c r="D105" t="inlineStr">
        <is>
          <t>Groceries</t>
        </is>
      </c>
      <c r="E105" t="inlineStr">
        <is>
          <t>Expense</t>
        </is>
      </c>
      <c r="F105" t="inlineStr">
        <is>
          <t>2025-02</t>
        </is>
      </c>
    </row>
    <row r="106">
      <c r="A106" t="inlineStr">
        <is>
          <t>2025-03-01</t>
        </is>
      </c>
      <c r="B106" t="inlineStr">
        <is>
          <t>Rent Payment - Sunrise Apartments</t>
        </is>
      </c>
      <c r="C106" s="2" t="n">
        <v>-1450</v>
      </c>
      <c r="D106" t="inlineStr">
        <is>
          <t>Housing</t>
        </is>
      </c>
      <c r="E106" t="inlineStr">
        <is>
          <t>Expense</t>
        </is>
      </c>
      <c r="F106" t="inlineStr">
        <is>
          <t>2025-03</t>
        </is>
      </c>
    </row>
    <row r="107">
      <c r="A107" t="inlineStr">
        <is>
          <t>2025-03-01</t>
        </is>
      </c>
      <c r="B107" t="inlineStr">
        <is>
          <t>Shell Gas Station</t>
        </is>
      </c>
      <c r="C107" s="2" t="n">
        <v>-48.64</v>
      </c>
      <c r="D107" t="inlineStr">
        <is>
          <t>Transportation</t>
        </is>
      </c>
      <c r="E107" t="inlineStr">
        <is>
          <t>Expense</t>
        </is>
      </c>
      <c r="F107" t="inlineStr">
        <is>
          <t>2025-03</t>
        </is>
      </c>
    </row>
    <row r="108">
      <c r="A108" t="inlineStr">
        <is>
          <t>2025-03-01</t>
        </is>
      </c>
      <c r="B108" t="inlineStr">
        <is>
          <t>Steam Games</t>
        </is>
      </c>
      <c r="C108" s="2" t="n">
        <v>-39.13</v>
      </c>
      <c r="D108" t="inlineStr">
        <is>
          <t>Entertainment</t>
        </is>
      </c>
      <c r="E108" t="inlineStr">
        <is>
          <t>Expense</t>
        </is>
      </c>
      <c r="F108" t="inlineStr">
        <is>
          <t>2025-03</t>
        </is>
      </c>
    </row>
    <row r="109">
      <c r="A109" t="inlineStr">
        <is>
          <t>2025-03-01</t>
        </is>
      </c>
      <c r="B109" t="inlineStr">
        <is>
          <t>Shell Gas Station</t>
        </is>
      </c>
      <c r="C109" s="2" t="n">
        <v>-45.74</v>
      </c>
      <c r="D109" t="inlineStr">
        <is>
          <t>Transportation</t>
        </is>
      </c>
      <c r="E109" t="inlineStr">
        <is>
          <t>Expense</t>
        </is>
      </c>
      <c r="F109" t="inlineStr">
        <is>
          <t>2025-03</t>
        </is>
      </c>
    </row>
    <row r="110">
      <c r="A110" t="inlineStr">
        <is>
          <t>2025-03-03</t>
        </is>
      </c>
      <c r="B110" t="inlineStr">
        <is>
          <t>Geico Insurance</t>
        </is>
      </c>
      <c r="C110" s="2" t="n">
        <v>-136.55</v>
      </c>
      <c r="D110" t="inlineStr">
        <is>
          <t>Insurance</t>
        </is>
      </c>
      <c r="E110" t="inlineStr">
        <is>
          <t>Expense</t>
        </is>
      </c>
      <c r="F110" t="inlineStr">
        <is>
          <t>2025-03</t>
        </is>
      </c>
    </row>
    <row r="111">
      <c r="A111" t="inlineStr">
        <is>
          <t>2025-03-03</t>
        </is>
      </c>
      <c r="B111" t="inlineStr">
        <is>
          <t>Whole Foods Market</t>
        </is>
      </c>
      <c r="C111" s="2" t="n">
        <v>-78.43000000000001</v>
      </c>
      <c r="D111" t="inlineStr">
        <is>
          <t>Groceries</t>
        </is>
      </c>
      <c r="E111" t="inlineStr">
        <is>
          <t>Expense</t>
        </is>
      </c>
      <c r="F111" t="inlineStr">
        <is>
          <t>2025-03</t>
        </is>
      </c>
    </row>
    <row r="112">
      <c r="A112" t="inlineStr">
        <is>
          <t>2025-03-04</t>
        </is>
      </c>
      <c r="B112" t="inlineStr">
        <is>
          <t>Planet Fitness</t>
        </is>
      </c>
      <c r="C112" s="2" t="n">
        <v>-24.99</v>
      </c>
      <c r="D112" t="inlineStr">
        <is>
          <t>Health &amp; Fitness</t>
        </is>
      </c>
      <c r="E112" t="inlineStr">
        <is>
          <t>Expense</t>
        </is>
      </c>
      <c r="F112" t="inlineStr">
        <is>
          <t>2025-03</t>
        </is>
      </c>
    </row>
    <row r="113">
      <c r="A113" t="inlineStr">
        <is>
          <t>2025-03-04</t>
        </is>
      </c>
      <c r="B113" t="inlineStr">
        <is>
          <t>Amazon.com</t>
        </is>
      </c>
      <c r="C113" s="2" t="n">
        <v>-103.37</v>
      </c>
      <c r="D113" t="inlineStr">
        <is>
          <t>Shopping</t>
        </is>
      </c>
      <c r="E113" t="inlineStr">
        <is>
          <t>Expense</t>
        </is>
      </c>
      <c r="F113" t="inlineStr">
        <is>
          <t>2025-03</t>
        </is>
      </c>
    </row>
    <row r="114">
      <c r="A114" t="inlineStr">
        <is>
          <t>2025-03-05</t>
        </is>
      </c>
      <c r="B114" t="inlineStr">
        <is>
          <t>Netflix.com</t>
        </is>
      </c>
      <c r="C114" s="2" t="n">
        <v>-15.49</v>
      </c>
      <c r="D114" t="inlineStr">
        <is>
          <t>Subscriptions</t>
        </is>
      </c>
      <c r="E114" t="inlineStr">
        <is>
          <t>Expense</t>
        </is>
      </c>
      <c r="F114" t="inlineStr">
        <is>
          <t>2025-03</t>
        </is>
      </c>
    </row>
    <row r="115">
      <c r="A115" t="inlineStr">
        <is>
          <t>2025-03-05</t>
        </is>
      </c>
      <c r="B115" t="inlineStr">
        <is>
          <t>Freelance Client Payment</t>
        </is>
      </c>
      <c r="C115" s="2" t="n">
        <v>485.25</v>
      </c>
      <c r="D115" t="inlineStr">
        <is>
          <t>Income</t>
        </is>
      </c>
      <c r="E115" t="inlineStr">
        <is>
          <t>Income</t>
        </is>
      </c>
      <c r="F115" t="inlineStr">
        <is>
          <t>2025-03</t>
        </is>
      </c>
    </row>
    <row r="116">
      <c r="A116" t="inlineStr">
        <is>
          <t>2025-03-05</t>
        </is>
      </c>
      <c r="B116" t="inlineStr">
        <is>
          <t>Southwest Airlines</t>
        </is>
      </c>
      <c r="C116" s="2" t="n">
        <v>-393.46</v>
      </c>
      <c r="D116" t="inlineStr">
        <is>
          <t>Travel</t>
        </is>
      </c>
      <c r="E116" t="inlineStr">
        <is>
          <t>Expense</t>
        </is>
      </c>
      <c r="F116" t="inlineStr">
        <is>
          <t>2025-03</t>
        </is>
      </c>
    </row>
    <row r="117">
      <c r="A117" t="inlineStr">
        <is>
          <t>2025-03-06</t>
        </is>
      </c>
      <c r="B117" t="inlineStr">
        <is>
          <t>Amazon.com</t>
        </is>
      </c>
      <c r="C117" s="2" t="n">
        <v>-131.04</v>
      </c>
      <c r="D117" t="inlineStr">
        <is>
          <t>Shopping</t>
        </is>
      </c>
      <c r="E117" t="inlineStr">
        <is>
          <t>Expense</t>
        </is>
      </c>
      <c r="F117" t="inlineStr">
        <is>
          <t>2025-03</t>
        </is>
      </c>
    </row>
    <row r="118">
      <c r="A118" t="inlineStr">
        <is>
          <t>2025-03-06</t>
        </is>
      </c>
      <c r="B118" t="inlineStr">
        <is>
          <t>Uber</t>
        </is>
      </c>
      <c r="C118" s="2" t="n">
        <v>-32.27</v>
      </c>
      <c r="D118" t="inlineStr">
        <is>
          <t>Transportation</t>
        </is>
      </c>
      <c r="E118" t="inlineStr">
        <is>
          <t>Expense</t>
        </is>
      </c>
      <c r="F118" t="inlineStr">
        <is>
          <t>2025-03</t>
        </is>
      </c>
    </row>
    <row r="119">
      <c r="A119" t="inlineStr">
        <is>
          <t>2025-03-07</t>
        </is>
      </c>
      <c r="B119" t="inlineStr">
        <is>
          <t>Spotify USA</t>
        </is>
      </c>
      <c r="C119" s="2" t="n">
        <v>-11.99</v>
      </c>
      <c r="D119" t="inlineStr">
        <is>
          <t>Subscriptions</t>
        </is>
      </c>
      <c r="E119" t="inlineStr">
        <is>
          <t>Expense</t>
        </is>
      </c>
      <c r="F119" t="inlineStr">
        <is>
          <t>2025-03</t>
        </is>
      </c>
    </row>
    <row r="120">
      <c r="A120" t="inlineStr">
        <is>
          <t>2025-03-08</t>
        </is>
      </c>
      <c r="B120" t="inlineStr">
        <is>
          <t>Kaiser Permanente Copay</t>
        </is>
      </c>
      <c r="C120" s="2" t="n">
        <v>-35.65</v>
      </c>
      <c r="D120" t="inlineStr">
        <is>
          <t>Health &amp; Fitness</t>
        </is>
      </c>
      <c r="E120" t="inlineStr">
        <is>
          <t>Expense</t>
        </is>
      </c>
      <c r="F120" t="inlineStr">
        <is>
          <t>2025-03</t>
        </is>
      </c>
    </row>
    <row r="121">
      <c r="A121" t="inlineStr">
        <is>
          <t>2025-03-08</t>
        </is>
      </c>
      <c r="B121" t="inlineStr">
        <is>
          <t>Southwest Airlines</t>
        </is>
      </c>
      <c r="C121" s="2" t="n">
        <v>-350.56</v>
      </c>
      <c r="D121" t="inlineStr">
        <is>
          <t>Travel</t>
        </is>
      </c>
      <c r="E121" t="inlineStr">
        <is>
          <t>Expense</t>
        </is>
      </c>
      <c r="F121" t="inlineStr">
        <is>
          <t>2025-03</t>
        </is>
      </c>
    </row>
    <row r="122">
      <c r="A122" t="inlineStr">
        <is>
          <t>2025-03-09</t>
        </is>
      </c>
      <c r="B122" t="inlineStr">
        <is>
          <t>Amazon.com</t>
        </is>
      </c>
      <c r="C122" s="2" t="n">
        <v>-47.35</v>
      </c>
      <c r="D122" t="inlineStr">
        <is>
          <t>Shopping</t>
        </is>
      </c>
      <c r="E122" t="inlineStr">
        <is>
          <t>Expense</t>
        </is>
      </c>
      <c r="F122" t="inlineStr">
        <is>
          <t>2025-03</t>
        </is>
      </c>
    </row>
    <row r="123">
      <c r="A123" t="inlineStr">
        <is>
          <t>2025-03-09</t>
        </is>
      </c>
      <c r="B123" t="inlineStr">
        <is>
          <t>DoorDash</t>
        </is>
      </c>
      <c r="C123" s="2" t="n">
        <v>-28.33</v>
      </c>
      <c r="D123" t="inlineStr">
        <is>
          <t>Dining Out</t>
        </is>
      </c>
      <c r="E123" t="inlineStr">
        <is>
          <t>Expense</t>
        </is>
      </c>
      <c r="F123" t="inlineStr">
        <is>
          <t>2025-03</t>
        </is>
      </c>
    </row>
    <row r="124">
      <c r="A124" t="inlineStr">
        <is>
          <t>2025-03-09</t>
        </is>
      </c>
      <c r="B124" t="inlineStr">
        <is>
          <t>Whole Foods Market</t>
        </is>
      </c>
      <c r="C124" s="2" t="n">
        <v>-75.81</v>
      </c>
      <c r="D124" t="inlineStr">
        <is>
          <t>Groceries</t>
        </is>
      </c>
      <c r="E124" t="inlineStr">
        <is>
          <t>Expense</t>
        </is>
      </c>
      <c r="F124" t="inlineStr">
        <is>
          <t>2025-03</t>
        </is>
      </c>
    </row>
    <row r="125">
      <c r="A125" t="inlineStr">
        <is>
          <t>2025-03-10</t>
        </is>
      </c>
      <c r="B125" t="inlineStr">
        <is>
          <t>Comcast Xfinity</t>
        </is>
      </c>
      <c r="C125" s="2" t="n">
        <v>-85.93000000000001</v>
      </c>
      <c r="D125" t="inlineStr">
        <is>
          <t>Utilities</t>
        </is>
      </c>
      <c r="E125" t="inlineStr">
        <is>
          <t>Expense</t>
        </is>
      </c>
      <c r="F125" t="inlineStr">
        <is>
          <t>2025-03</t>
        </is>
      </c>
    </row>
    <row r="126">
      <c r="A126" t="inlineStr">
        <is>
          <t>2025-03-10</t>
        </is>
      </c>
      <c r="B126" t="inlineStr">
        <is>
          <t>ATM Withdrawal</t>
        </is>
      </c>
      <c r="C126" s="2" t="n">
        <v>-60.98</v>
      </c>
      <c r="D126" t="inlineStr">
        <is>
          <t>Cash &amp; Misc</t>
        </is>
      </c>
      <c r="E126" t="inlineStr">
        <is>
          <t>Expense</t>
        </is>
      </c>
      <c r="F126" t="inlineStr">
        <is>
          <t>2025-03</t>
        </is>
      </c>
    </row>
    <row r="127">
      <c r="A127" t="inlineStr">
        <is>
          <t>2025-03-11</t>
        </is>
      </c>
      <c r="B127" t="inlineStr">
        <is>
          <t>Target</t>
        </is>
      </c>
      <c r="C127" s="2" t="n">
        <v>-42.29</v>
      </c>
      <c r="D127" t="inlineStr">
        <is>
          <t>Shopping</t>
        </is>
      </c>
      <c r="E127" t="inlineStr">
        <is>
          <t>Expense</t>
        </is>
      </c>
      <c r="F127" t="inlineStr">
        <is>
          <t>2025-03</t>
        </is>
      </c>
    </row>
    <row r="128">
      <c r="A128" t="inlineStr">
        <is>
          <t>2025-03-11</t>
        </is>
      </c>
      <c r="B128" t="inlineStr">
        <is>
          <t>Lyft</t>
        </is>
      </c>
      <c r="C128" s="2" t="n">
        <v>-17.97</v>
      </c>
      <c r="D128" t="inlineStr">
        <is>
          <t>Transportation</t>
        </is>
      </c>
      <c r="E128" t="inlineStr">
        <is>
          <t>Expense</t>
        </is>
      </c>
      <c r="F128" t="inlineStr">
        <is>
          <t>2025-03</t>
        </is>
      </c>
    </row>
    <row r="129">
      <c r="A129" t="inlineStr">
        <is>
          <t>2025-03-12</t>
        </is>
      </c>
      <c r="B129" t="inlineStr">
        <is>
          <t>PG&amp;E Electric</t>
        </is>
      </c>
      <c r="C129" s="2" t="n">
        <v>-66.77</v>
      </c>
      <c r="D129" t="inlineStr">
        <is>
          <t>Utilities</t>
        </is>
      </c>
      <c r="E129" t="inlineStr">
        <is>
          <t>Expense</t>
        </is>
      </c>
      <c r="F129" t="inlineStr">
        <is>
          <t>2025-03</t>
        </is>
      </c>
    </row>
    <row r="130">
      <c r="A130" t="inlineStr">
        <is>
          <t>2025-03-12</t>
        </is>
      </c>
      <c r="B130" t="inlineStr">
        <is>
          <t>Employer Payroll Direct Dep</t>
        </is>
      </c>
      <c r="C130" s="2" t="n">
        <v>2650</v>
      </c>
      <c r="D130" t="inlineStr">
        <is>
          <t>Income</t>
        </is>
      </c>
      <c r="E130" t="inlineStr">
        <is>
          <t>Income</t>
        </is>
      </c>
      <c r="F130" t="inlineStr">
        <is>
          <t>2025-03</t>
        </is>
      </c>
    </row>
    <row r="131">
      <c r="A131" t="inlineStr">
        <is>
          <t>2025-03-12</t>
        </is>
      </c>
      <c r="B131" t="inlineStr">
        <is>
          <t>Starbucks</t>
        </is>
      </c>
      <c r="C131" s="2" t="n">
        <v>-8.869999999999999</v>
      </c>
      <c r="D131" t="inlineStr">
        <is>
          <t>Dining Out</t>
        </is>
      </c>
      <c r="E131" t="inlineStr">
        <is>
          <t>Expense</t>
        </is>
      </c>
      <c r="F131" t="inlineStr">
        <is>
          <t>2025-03</t>
        </is>
      </c>
    </row>
    <row r="132">
      <c r="A132" t="inlineStr">
        <is>
          <t>2025-03-13</t>
        </is>
      </c>
      <c r="B132" t="inlineStr">
        <is>
          <t>Chase Credit Card Payment</t>
        </is>
      </c>
      <c r="C132" s="2" t="n">
        <v>-319.9</v>
      </c>
      <c r="D132" t="inlineStr">
        <is>
          <t>Debt Payments</t>
        </is>
      </c>
      <c r="E132" t="inlineStr">
        <is>
          <t>Expense</t>
        </is>
      </c>
      <c r="F132" t="inlineStr">
        <is>
          <t>2025-03</t>
        </is>
      </c>
    </row>
    <row r="133">
      <c r="A133" t="inlineStr">
        <is>
          <t>2025-03-14</t>
        </is>
      </c>
      <c r="B133" t="inlineStr">
        <is>
          <t>Verizon Wireless</t>
        </is>
      </c>
      <c r="C133" s="2" t="n">
        <v>-83.47</v>
      </c>
      <c r="D133" t="inlineStr">
        <is>
          <t>Utilities</t>
        </is>
      </c>
      <c r="E133" t="inlineStr">
        <is>
          <t>Expense</t>
        </is>
      </c>
      <c r="F133" t="inlineStr">
        <is>
          <t>2025-03</t>
        </is>
      </c>
    </row>
    <row r="134">
      <c r="A134" t="inlineStr">
        <is>
          <t>2025-03-14</t>
        </is>
      </c>
      <c r="B134" t="inlineStr">
        <is>
          <t>Kaiser Permanente Copay</t>
        </is>
      </c>
      <c r="C134" s="2" t="n">
        <v>-38.78</v>
      </c>
      <c r="D134" t="inlineStr">
        <is>
          <t>Health &amp; Fitness</t>
        </is>
      </c>
      <c r="E134" t="inlineStr">
        <is>
          <t>Expense</t>
        </is>
      </c>
      <c r="F134" t="inlineStr">
        <is>
          <t>2025-03</t>
        </is>
      </c>
    </row>
    <row r="135">
      <c r="A135" t="inlineStr">
        <is>
          <t>2025-03-14</t>
        </is>
      </c>
      <c r="B135" t="inlineStr">
        <is>
          <t>The Cheesecake Factory</t>
        </is>
      </c>
      <c r="C135" s="2" t="n">
        <v>-70.08</v>
      </c>
      <c r="D135" t="inlineStr">
        <is>
          <t>Dining Out</t>
        </is>
      </c>
      <c r="E135" t="inlineStr">
        <is>
          <t>Expense</t>
        </is>
      </c>
      <c r="F135" t="inlineStr">
        <is>
          <t>2025-03</t>
        </is>
      </c>
    </row>
    <row r="136">
      <c r="A136" t="inlineStr">
        <is>
          <t>2025-03-14</t>
        </is>
      </c>
      <c r="B136" t="inlineStr">
        <is>
          <t>Best Buy</t>
        </is>
      </c>
      <c r="C136" s="2" t="n">
        <v>-78.20999999999999</v>
      </c>
      <c r="D136" t="inlineStr">
        <is>
          <t>Shopping</t>
        </is>
      </c>
      <c r="E136" t="inlineStr">
        <is>
          <t>Expense</t>
        </is>
      </c>
      <c r="F136" t="inlineStr">
        <is>
          <t>2025-03</t>
        </is>
      </c>
    </row>
    <row r="137">
      <c r="A137" t="inlineStr">
        <is>
          <t>2025-03-15</t>
        </is>
      </c>
      <c r="B137" t="inlineStr">
        <is>
          <t>Best Buy</t>
        </is>
      </c>
      <c r="C137" s="2" t="n">
        <v>-40.33</v>
      </c>
      <c r="D137" t="inlineStr">
        <is>
          <t>Shopping</t>
        </is>
      </c>
      <c r="E137" t="inlineStr">
        <is>
          <t>Expense</t>
        </is>
      </c>
      <c r="F137" t="inlineStr">
        <is>
          <t>2025-03</t>
        </is>
      </c>
    </row>
    <row r="138">
      <c r="A138" t="inlineStr">
        <is>
          <t>2025-03-15</t>
        </is>
      </c>
      <c r="B138" t="inlineStr">
        <is>
          <t>Airbnb</t>
        </is>
      </c>
      <c r="C138" s="2" t="n">
        <v>-199.51</v>
      </c>
      <c r="D138" t="inlineStr">
        <is>
          <t>Travel</t>
        </is>
      </c>
      <c r="E138" t="inlineStr">
        <is>
          <t>Expense</t>
        </is>
      </c>
      <c r="F138" t="inlineStr">
        <is>
          <t>2025-03</t>
        </is>
      </c>
    </row>
    <row r="139">
      <c r="A139" t="inlineStr">
        <is>
          <t>2025-03-15</t>
        </is>
      </c>
      <c r="B139" t="inlineStr">
        <is>
          <t>Walgreens</t>
        </is>
      </c>
      <c r="C139" s="2" t="n">
        <v>-21.96</v>
      </c>
      <c r="D139" t="inlineStr">
        <is>
          <t>Health &amp; Fitness</t>
        </is>
      </c>
      <c r="E139" t="inlineStr">
        <is>
          <t>Expense</t>
        </is>
      </c>
      <c r="F139" t="inlineStr">
        <is>
          <t>2025-03</t>
        </is>
      </c>
    </row>
    <row r="140">
      <c r="A140" t="inlineStr">
        <is>
          <t>2025-03-16</t>
        </is>
      </c>
      <c r="B140" t="inlineStr">
        <is>
          <t>The Cheesecake Factory</t>
        </is>
      </c>
      <c r="C140" s="2" t="n">
        <v>-50.41</v>
      </c>
      <c r="D140" t="inlineStr">
        <is>
          <t>Dining Out</t>
        </is>
      </c>
      <c r="E140" t="inlineStr">
        <is>
          <t>Expense</t>
        </is>
      </c>
      <c r="F140" t="inlineStr">
        <is>
          <t>2025-03</t>
        </is>
      </c>
    </row>
    <row r="141">
      <c r="A141" t="inlineStr">
        <is>
          <t>2025-03-16</t>
        </is>
      </c>
      <c r="B141" t="inlineStr">
        <is>
          <t>Lyft</t>
        </is>
      </c>
      <c r="C141" s="2" t="n">
        <v>-15.09</v>
      </c>
      <c r="D141" t="inlineStr">
        <is>
          <t>Transportation</t>
        </is>
      </c>
      <c r="E141" t="inlineStr">
        <is>
          <t>Expense</t>
        </is>
      </c>
      <c r="F141" t="inlineStr">
        <is>
          <t>2025-03</t>
        </is>
      </c>
    </row>
    <row r="142">
      <c r="A142" t="inlineStr">
        <is>
          <t>2025-03-16</t>
        </is>
      </c>
      <c r="B142" t="inlineStr">
        <is>
          <t>Airbnb</t>
        </is>
      </c>
      <c r="C142" s="2" t="n">
        <v>-120.39</v>
      </c>
      <c r="D142" t="inlineStr">
        <is>
          <t>Travel</t>
        </is>
      </c>
      <c r="E142" t="inlineStr">
        <is>
          <t>Expense</t>
        </is>
      </c>
      <c r="F142" t="inlineStr">
        <is>
          <t>2025-03</t>
        </is>
      </c>
    </row>
    <row r="143">
      <c r="A143" t="inlineStr">
        <is>
          <t>2025-03-17</t>
        </is>
      </c>
      <c r="B143" t="inlineStr">
        <is>
          <t>Lyft</t>
        </is>
      </c>
      <c r="C143" s="2" t="n">
        <v>-17.28</v>
      </c>
      <c r="D143" t="inlineStr">
        <is>
          <t>Transportation</t>
        </is>
      </c>
      <c r="E143" t="inlineStr">
        <is>
          <t>Expense</t>
        </is>
      </c>
      <c r="F143" t="inlineStr">
        <is>
          <t>2025-03</t>
        </is>
      </c>
    </row>
    <row r="144">
      <c r="A144" t="inlineStr">
        <is>
          <t>2025-03-17</t>
        </is>
      </c>
      <c r="B144" t="inlineStr">
        <is>
          <t>Starbucks</t>
        </is>
      </c>
      <c r="C144" s="2" t="n">
        <v>-8.800000000000001</v>
      </c>
      <c r="D144" t="inlineStr">
        <is>
          <t>Dining Out</t>
        </is>
      </c>
      <c r="E144" t="inlineStr">
        <is>
          <t>Expense</t>
        </is>
      </c>
      <c r="F144" t="inlineStr">
        <is>
          <t>2025-03</t>
        </is>
      </c>
    </row>
    <row r="145">
      <c r="A145" t="inlineStr">
        <is>
          <t>2025-03-17</t>
        </is>
      </c>
      <c r="B145" t="inlineStr">
        <is>
          <t>Kaiser Permanente Copay</t>
        </is>
      </c>
      <c r="C145" s="2" t="n">
        <v>-32.46</v>
      </c>
      <c r="D145" t="inlineStr">
        <is>
          <t>Health &amp; Fitness</t>
        </is>
      </c>
      <c r="E145" t="inlineStr">
        <is>
          <t>Expense</t>
        </is>
      </c>
      <c r="F145" t="inlineStr">
        <is>
          <t>2025-03</t>
        </is>
      </c>
    </row>
    <row r="146">
      <c r="A146" t="inlineStr">
        <is>
          <t>2025-03-18</t>
        </is>
      </c>
      <c r="B146" t="inlineStr">
        <is>
          <t>Amazon Prime</t>
        </is>
      </c>
      <c r="C146" s="2" t="n">
        <v>-14.99</v>
      </c>
      <c r="D146" t="inlineStr">
        <is>
          <t>Subscriptions</t>
        </is>
      </c>
      <c r="E146" t="inlineStr">
        <is>
          <t>Expense</t>
        </is>
      </c>
      <c r="F146" t="inlineStr">
        <is>
          <t>2025-03</t>
        </is>
      </c>
    </row>
    <row r="147">
      <c r="A147" t="inlineStr">
        <is>
          <t>2025-03-18</t>
        </is>
      </c>
      <c r="B147" t="inlineStr">
        <is>
          <t>The Cheesecake Factory</t>
        </is>
      </c>
      <c r="C147" s="2" t="n">
        <v>-63.79</v>
      </c>
      <c r="D147" t="inlineStr">
        <is>
          <t>Dining Out</t>
        </is>
      </c>
      <c r="E147" t="inlineStr">
        <is>
          <t>Expense</t>
        </is>
      </c>
      <c r="F147" t="inlineStr">
        <is>
          <t>2025-03</t>
        </is>
      </c>
    </row>
    <row r="148">
      <c r="A148" t="inlineStr">
        <is>
          <t>2025-03-18</t>
        </is>
      </c>
      <c r="B148" t="inlineStr">
        <is>
          <t>CVS Pharmacy</t>
        </is>
      </c>
      <c r="C148" s="2" t="n">
        <v>-26.76</v>
      </c>
      <c r="D148" t="inlineStr">
        <is>
          <t>Health &amp; Fitness</t>
        </is>
      </c>
      <c r="E148" t="inlineStr">
        <is>
          <t>Expense</t>
        </is>
      </c>
      <c r="F148" t="inlineStr">
        <is>
          <t>2025-03</t>
        </is>
      </c>
    </row>
    <row r="149">
      <c r="A149" t="inlineStr">
        <is>
          <t>2025-03-19</t>
        </is>
      </c>
      <c r="B149" t="inlineStr">
        <is>
          <t>Walgreens</t>
        </is>
      </c>
      <c r="C149" s="2" t="n">
        <v>-20.88</v>
      </c>
      <c r="D149" t="inlineStr">
        <is>
          <t>Health &amp; Fitness</t>
        </is>
      </c>
      <c r="E149" t="inlineStr">
        <is>
          <t>Expense</t>
        </is>
      </c>
      <c r="F149" t="inlineStr">
        <is>
          <t>2025-03</t>
        </is>
      </c>
    </row>
    <row r="150">
      <c r="A150" t="inlineStr">
        <is>
          <t>2025-03-19</t>
        </is>
      </c>
      <c r="B150" t="inlineStr">
        <is>
          <t>REI</t>
        </is>
      </c>
      <c r="C150" s="2" t="n">
        <v>-117.62</v>
      </c>
      <c r="D150" t="inlineStr">
        <is>
          <t>Shopping</t>
        </is>
      </c>
      <c r="E150" t="inlineStr">
        <is>
          <t>Expense</t>
        </is>
      </c>
      <c r="F150" t="inlineStr">
        <is>
          <t>2025-03</t>
        </is>
      </c>
    </row>
    <row r="151">
      <c r="A151" t="inlineStr">
        <is>
          <t>2025-03-20</t>
        </is>
      </c>
      <c r="B151" t="inlineStr">
        <is>
          <t>Ticketmaster</t>
        </is>
      </c>
      <c r="C151" s="2" t="n">
        <v>-114.5</v>
      </c>
      <c r="D151" t="inlineStr">
        <is>
          <t>Entertainment</t>
        </is>
      </c>
      <c r="E151" t="inlineStr">
        <is>
          <t>Expense</t>
        </is>
      </c>
      <c r="F151" t="inlineStr">
        <is>
          <t>2025-03</t>
        </is>
      </c>
    </row>
    <row r="152">
      <c r="A152" t="inlineStr">
        <is>
          <t>2025-03-21</t>
        </is>
      </c>
      <c r="B152" t="inlineStr">
        <is>
          <t>CVS Pharmacy</t>
        </is>
      </c>
      <c r="C152" s="2" t="n">
        <v>-23.02</v>
      </c>
      <c r="D152" t="inlineStr">
        <is>
          <t>Health &amp; Fitness</t>
        </is>
      </c>
      <c r="E152" t="inlineStr">
        <is>
          <t>Expense</t>
        </is>
      </c>
      <c r="F152" t="inlineStr">
        <is>
          <t>2025-03</t>
        </is>
      </c>
    </row>
    <row r="153">
      <c r="A153" t="inlineStr">
        <is>
          <t>2025-03-21</t>
        </is>
      </c>
      <c r="B153" t="inlineStr">
        <is>
          <t>Trader Joe's</t>
        </is>
      </c>
      <c r="C153" s="2" t="n">
        <v>-44.75</v>
      </c>
      <c r="D153" t="inlineStr">
        <is>
          <t>Groceries</t>
        </is>
      </c>
      <c r="E153" t="inlineStr">
        <is>
          <t>Expense</t>
        </is>
      </c>
      <c r="F153" t="inlineStr">
        <is>
          <t>2025-03</t>
        </is>
      </c>
    </row>
    <row r="154">
      <c r="A154" t="inlineStr">
        <is>
          <t>2025-03-21</t>
        </is>
      </c>
      <c r="B154" t="inlineStr">
        <is>
          <t>Bay Area Rapid Transit</t>
        </is>
      </c>
      <c r="C154" s="2" t="n">
        <v>-9.300000000000001</v>
      </c>
      <c r="D154" t="inlineStr">
        <is>
          <t>Transportation</t>
        </is>
      </c>
      <c r="E154" t="inlineStr">
        <is>
          <t>Expense</t>
        </is>
      </c>
      <c r="F154" t="inlineStr">
        <is>
          <t>2025-03</t>
        </is>
      </c>
    </row>
    <row r="155">
      <c r="A155" t="inlineStr">
        <is>
          <t>2025-03-22</t>
        </is>
      </c>
      <c r="B155" t="inlineStr">
        <is>
          <t>NYTimes Subscription</t>
        </is>
      </c>
      <c r="C155" s="2" t="n">
        <v>-17</v>
      </c>
      <c r="D155" t="inlineStr">
        <is>
          <t>Subscriptions</t>
        </is>
      </c>
      <c r="E155" t="inlineStr">
        <is>
          <t>Expense</t>
        </is>
      </c>
      <c r="F155" t="inlineStr">
        <is>
          <t>2025-03</t>
        </is>
      </c>
    </row>
    <row r="156">
      <c r="A156" t="inlineStr">
        <is>
          <t>2025-03-22</t>
        </is>
      </c>
      <c r="B156" t="inlineStr">
        <is>
          <t>Walgreens</t>
        </is>
      </c>
      <c r="C156" s="2" t="n">
        <v>-22.88</v>
      </c>
      <c r="D156" t="inlineStr">
        <is>
          <t>Health &amp; Fitness</t>
        </is>
      </c>
      <c r="E156" t="inlineStr">
        <is>
          <t>Expense</t>
        </is>
      </c>
      <c r="F156" t="inlineStr">
        <is>
          <t>2025-03</t>
        </is>
      </c>
    </row>
    <row r="157">
      <c r="A157" t="inlineStr">
        <is>
          <t>2025-03-22</t>
        </is>
      </c>
      <c r="B157" t="inlineStr">
        <is>
          <t>Marriott Hotels</t>
        </is>
      </c>
      <c r="C157" s="2" t="n">
        <v>-234.59</v>
      </c>
      <c r="D157" t="inlineStr">
        <is>
          <t>Travel</t>
        </is>
      </c>
      <c r="E157" t="inlineStr">
        <is>
          <t>Expense</t>
        </is>
      </c>
      <c r="F157" t="inlineStr">
        <is>
          <t>2025-03</t>
        </is>
      </c>
    </row>
    <row r="158">
      <c r="A158" t="inlineStr">
        <is>
          <t>2025-03-23</t>
        </is>
      </c>
      <c r="B158" t="inlineStr">
        <is>
          <t>Chevron</t>
        </is>
      </c>
      <c r="C158" s="2" t="n">
        <v>-51.47</v>
      </c>
      <c r="D158" t="inlineStr">
        <is>
          <t>Transportation</t>
        </is>
      </c>
      <c r="E158" t="inlineStr">
        <is>
          <t>Expense</t>
        </is>
      </c>
      <c r="F158" t="inlineStr">
        <is>
          <t>2025-03</t>
        </is>
      </c>
    </row>
    <row r="159">
      <c r="A159" t="inlineStr">
        <is>
          <t>2025-03-24</t>
        </is>
      </c>
      <c r="B159" t="inlineStr">
        <is>
          <t>Kaiser Permanente Copay</t>
        </is>
      </c>
      <c r="C159" s="2" t="n">
        <v>-21.87</v>
      </c>
      <c r="D159" t="inlineStr">
        <is>
          <t>Health &amp; Fitness</t>
        </is>
      </c>
      <c r="E159" t="inlineStr">
        <is>
          <t>Expense</t>
        </is>
      </c>
      <c r="F159" t="inlineStr">
        <is>
          <t>2025-03</t>
        </is>
      </c>
    </row>
    <row r="160">
      <c r="A160" t="inlineStr">
        <is>
          <t>2025-03-25</t>
        </is>
      </c>
      <c r="B160" t="inlineStr">
        <is>
          <t>Student Loan Servicer</t>
        </is>
      </c>
      <c r="C160" s="2" t="n">
        <v>-220</v>
      </c>
      <c r="D160" t="inlineStr">
        <is>
          <t>Debt Payments</t>
        </is>
      </c>
      <c r="E160" t="inlineStr">
        <is>
          <t>Expense</t>
        </is>
      </c>
      <c r="F160" t="inlineStr">
        <is>
          <t>2025-03</t>
        </is>
      </c>
    </row>
    <row r="161">
      <c r="A161" t="inlineStr">
        <is>
          <t>2025-03-25</t>
        </is>
      </c>
      <c r="B161" t="inlineStr">
        <is>
          <t>Amazon.com</t>
        </is>
      </c>
      <c r="C161" s="2" t="n">
        <v>-104.19</v>
      </c>
      <c r="D161" t="inlineStr">
        <is>
          <t>Shopping</t>
        </is>
      </c>
      <c r="E161" t="inlineStr">
        <is>
          <t>Expense</t>
        </is>
      </c>
      <c r="F161" t="inlineStr">
        <is>
          <t>2025-03</t>
        </is>
      </c>
    </row>
    <row r="162">
      <c r="A162" t="inlineStr">
        <is>
          <t>2025-03-25</t>
        </is>
      </c>
      <c r="B162" t="inlineStr">
        <is>
          <t>Target</t>
        </is>
      </c>
      <c r="C162" s="2" t="n">
        <v>-100.66</v>
      </c>
      <c r="D162" t="inlineStr">
        <is>
          <t>Shopping</t>
        </is>
      </c>
      <c r="E162" t="inlineStr">
        <is>
          <t>Expense</t>
        </is>
      </c>
      <c r="F162" t="inlineStr">
        <is>
          <t>2025-03</t>
        </is>
      </c>
    </row>
    <row r="163">
      <c r="A163" t="inlineStr">
        <is>
          <t>2025-03-25</t>
        </is>
      </c>
      <c r="B163" t="inlineStr">
        <is>
          <t>Shell Gas Station</t>
        </is>
      </c>
      <c r="C163" s="2" t="n">
        <v>-35.61</v>
      </c>
      <c r="D163" t="inlineStr">
        <is>
          <t>Transportation</t>
        </is>
      </c>
      <c r="E163" t="inlineStr">
        <is>
          <t>Expense</t>
        </is>
      </c>
      <c r="F163" t="inlineStr">
        <is>
          <t>2025-03</t>
        </is>
      </c>
    </row>
    <row r="164">
      <c r="A164" t="inlineStr">
        <is>
          <t>2025-03-26</t>
        </is>
      </c>
      <c r="B164" t="inlineStr">
        <is>
          <t>Employer Payroll Direct Dep</t>
        </is>
      </c>
      <c r="C164" s="2" t="n">
        <v>2650</v>
      </c>
      <c r="D164" t="inlineStr">
        <is>
          <t>Income</t>
        </is>
      </c>
      <c r="E164" t="inlineStr">
        <is>
          <t>Income</t>
        </is>
      </c>
      <c r="F164" t="inlineStr">
        <is>
          <t>2025-03</t>
        </is>
      </c>
    </row>
    <row r="165">
      <c r="A165" t="inlineStr">
        <is>
          <t>2025-03-26</t>
        </is>
      </c>
      <c r="B165" t="inlineStr">
        <is>
          <t>Venmo Payment</t>
        </is>
      </c>
      <c r="C165" s="2" t="n">
        <v>-54.73</v>
      </c>
      <c r="D165" t="inlineStr">
        <is>
          <t>Cash &amp; Misc</t>
        </is>
      </c>
      <c r="E165" t="inlineStr">
        <is>
          <t>Expense</t>
        </is>
      </c>
      <c r="F165" t="inlineStr">
        <is>
          <t>2025-03</t>
        </is>
      </c>
    </row>
    <row r="166">
      <c r="A166" t="inlineStr">
        <is>
          <t>2025-03-27</t>
        </is>
      </c>
      <c r="B166" t="inlineStr">
        <is>
          <t>ATM Withdrawal</t>
        </is>
      </c>
      <c r="C166" s="2" t="n">
        <v>-64.87</v>
      </c>
      <c r="D166" t="inlineStr">
        <is>
          <t>Cash &amp; Misc</t>
        </is>
      </c>
      <c r="E166" t="inlineStr">
        <is>
          <t>Expense</t>
        </is>
      </c>
      <c r="F166" t="inlineStr">
        <is>
          <t>2025-03</t>
        </is>
      </c>
    </row>
    <row r="167">
      <c r="A167" t="inlineStr">
        <is>
          <t>2025-03-27</t>
        </is>
      </c>
      <c r="B167" t="inlineStr">
        <is>
          <t>Lyft</t>
        </is>
      </c>
      <c r="C167" s="2" t="n">
        <v>-24.37</v>
      </c>
      <c r="D167" t="inlineStr">
        <is>
          <t>Transportation</t>
        </is>
      </c>
      <c r="E167" t="inlineStr">
        <is>
          <t>Expense</t>
        </is>
      </c>
      <c r="F167" t="inlineStr">
        <is>
          <t>2025-03</t>
        </is>
      </c>
    </row>
    <row r="168">
      <c r="A168" t="inlineStr">
        <is>
          <t>2025-03-28</t>
        </is>
      </c>
      <c r="B168" t="inlineStr">
        <is>
          <t>Local Bar &amp; Grill</t>
        </is>
      </c>
      <c r="C168" s="2" t="n">
        <v>-28.54</v>
      </c>
      <c r="D168" t="inlineStr">
        <is>
          <t>Entertainment</t>
        </is>
      </c>
      <c r="E168" t="inlineStr">
        <is>
          <t>Expense</t>
        </is>
      </c>
      <c r="F168" t="inlineStr">
        <is>
          <t>2025-03</t>
        </is>
      </c>
    </row>
    <row r="169">
      <c r="A169" t="inlineStr">
        <is>
          <t>2025-03-29</t>
        </is>
      </c>
      <c r="B169" t="inlineStr">
        <is>
          <t>Trader Joe's</t>
        </is>
      </c>
      <c r="C169" s="2" t="n">
        <v>-83.02</v>
      </c>
      <c r="D169" t="inlineStr">
        <is>
          <t>Groceries</t>
        </is>
      </c>
      <c r="E169" t="inlineStr">
        <is>
          <t>Expense</t>
        </is>
      </c>
      <c r="F169" t="inlineStr">
        <is>
          <t>2025-03</t>
        </is>
      </c>
    </row>
    <row r="170">
      <c r="A170" t="inlineStr">
        <is>
          <t>2025-03-29</t>
        </is>
      </c>
      <c r="B170" t="inlineStr">
        <is>
          <t>DoorDash</t>
        </is>
      </c>
      <c r="C170" s="2" t="n">
        <v>-39.02</v>
      </c>
      <c r="D170" t="inlineStr">
        <is>
          <t>Dining Out</t>
        </is>
      </c>
      <c r="E170" t="inlineStr">
        <is>
          <t>Expense</t>
        </is>
      </c>
      <c r="F170" t="inlineStr">
        <is>
          <t>2025-03</t>
        </is>
      </c>
    </row>
    <row r="171">
      <c r="A171" t="inlineStr">
        <is>
          <t>2025-03-30</t>
        </is>
      </c>
      <c r="B171" t="inlineStr">
        <is>
          <t>ATM Withdrawal</t>
        </is>
      </c>
      <c r="C171" s="2" t="n">
        <v>-43.01</v>
      </c>
      <c r="D171" t="inlineStr">
        <is>
          <t>Cash &amp; Misc</t>
        </is>
      </c>
      <c r="E171" t="inlineStr">
        <is>
          <t>Expense</t>
        </is>
      </c>
      <c r="F171" t="inlineStr">
        <is>
          <t>2025-03</t>
        </is>
      </c>
    </row>
    <row r="172">
      <c r="A172" t="inlineStr">
        <is>
          <t>2025-03-31</t>
        </is>
      </c>
      <c r="B172" t="inlineStr">
        <is>
          <t>The Cheesecake Factory</t>
        </is>
      </c>
      <c r="C172" s="2" t="n">
        <v>-53.26</v>
      </c>
      <c r="D172" t="inlineStr">
        <is>
          <t>Dining Out</t>
        </is>
      </c>
      <c r="E172" t="inlineStr">
        <is>
          <t>Expense</t>
        </is>
      </c>
      <c r="F172" t="inlineStr">
        <is>
          <t>2025-03</t>
        </is>
      </c>
    </row>
    <row r="173">
      <c r="A173" t="inlineStr">
        <is>
          <t>2025-04-01</t>
        </is>
      </c>
      <c r="B173" t="inlineStr">
        <is>
          <t>Rent Payment - Sunrise Apartments</t>
        </is>
      </c>
      <c r="C173" s="2" t="n">
        <v>-1450</v>
      </c>
      <c r="D173" t="inlineStr">
        <is>
          <t>Housing</t>
        </is>
      </c>
      <c r="E173" t="inlineStr">
        <is>
          <t>Expense</t>
        </is>
      </c>
      <c r="F173" t="inlineStr">
        <is>
          <t>2025-04</t>
        </is>
      </c>
    </row>
    <row r="174">
      <c r="A174" t="inlineStr">
        <is>
          <t>2025-04-01</t>
        </is>
      </c>
      <c r="B174" t="inlineStr">
        <is>
          <t>Walgreens</t>
        </is>
      </c>
      <c r="C174" s="2" t="n">
        <v>-38.4</v>
      </c>
      <c r="D174" t="inlineStr">
        <is>
          <t>Health &amp; Fitness</t>
        </is>
      </c>
      <c r="E174" t="inlineStr">
        <is>
          <t>Expense</t>
        </is>
      </c>
      <c r="F174" t="inlineStr">
        <is>
          <t>2025-04</t>
        </is>
      </c>
    </row>
    <row r="175">
      <c r="A175" t="inlineStr">
        <is>
          <t>2025-04-01</t>
        </is>
      </c>
      <c r="B175" t="inlineStr">
        <is>
          <t>Marriott Hotels</t>
        </is>
      </c>
      <c r="C175" s="2" t="n">
        <v>-225.77</v>
      </c>
      <c r="D175" t="inlineStr">
        <is>
          <t>Travel</t>
        </is>
      </c>
      <c r="E175" t="inlineStr">
        <is>
          <t>Expense</t>
        </is>
      </c>
      <c r="F175" t="inlineStr">
        <is>
          <t>2025-04</t>
        </is>
      </c>
    </row>
    <row r="176">
      <c r="A176" t="inlineStr">
        <is>
          <t>2025-04-02</t>
        </is>
      </c>
      <c r="B176" t="inlineStr">
        <is>
          <t>Chase Credit Card Payment</t>
        </is>
      </c>
      <c r="C176" s="2" t="n">
        <v>-328.02</v>
      </c>
      <c r="D176" t="inlineStr">
        <is>
          <t>Debt Payments</t>
        </is>
      </c>
      <c r="E176" t="inlineStr">
        <is>
          <t>Expense</t>
        </is>
      </c>
      <c r="F176" t="inlineStr">
        <is>
          <t>2025-04</t>
        </is>
      </c>
    </row>
    <row r="177">
      <c r="A177" t="inlineStr">
        <is>
          <t>2025-04-02</t>
        </is>
      </c>
      <c r="B177" t="inlineStr">
        <is>
          <t>Marriott Hotels</t>
        </is>
      </c>
      <c r="C177" s="2" t="n">
        <v>-265.61</v>
      </c>
      <c r="D177" t="inlineStr">
        <is>
          <t>Travel</t>
        </is>
      </c>
      <c r="E177" t="inlineStr">
        <is>
          <t>Expense</t>
        </is>
      </c>
      <c r="F177" t="inlineStr">
        <is>
          <t>2025-04</t>
        </is>
      </c>
    </row>
    <row r="178">
      <c r="A178" t="inlineStr">
        <is>
          <t>2025-04-03</t>
        </is>
      </c>
      <c r="B178" t="inlineStr">
        <is>
          <t>Geico Insurance</t>
        </is>
      </c>
      <c r="C178" s="2" t="n">
        <v>-138.79</v>
      </c>
      <c r="D178" t="inlineStr">
        <is>
          <t>Insurance</t>
        </is>
      </c>
      <c r="E178" t="inlineStr">
        <is>
          <t>Expense</t>
        </is>
      </c>
      <c r="F178" t="inlineStr">
        <is>
          <t>2025-04</t>
        </is>
      </c>
    </row>
    <row r="179">
      <c r="A179" t="inlineStr">
        <is>
          <t>2025-04-03</t>
        </is>
      </c>
      <c r="B179" t="inlineStr">
        <is>
          <t>Venmo Payment</t>
        </is>
      </c>
      <c r="C179" s="2" t="n">
        <v>-44.25</v>
      </c>
      <c r="D179" t="inlineStr">
        <is>
          <t>Cash &amp; Misc</t>
        </is>
      </c>
      <c r="E179" t="inlineStr">
        <is>
          <t>Expense</t>
        </is>
      </c>
      <c r="F179" t="inlineStr">
        <is>
          <t>2025-04</t>
        </is>
      </c>
    </row>
    <row r="180">
      <c r="A180" t="inlineStr">
        <is>
          <t>2025-04-03</t>
        </is>
      </c>
      <c r="B180" t="inlineStr">
        <is>
          <t>Amazon.com</t>
        </is>
      </c>
      <c r="C180" s="2" t="n">
        <v>-127.58</v>
      </c>
      <c r="D180" t="inlineStr">
        <is>
          <t>Shopping</t>
        </is>
      </c>
      <c r="E180" t="inlineStr">
        <is>
          <t>Expense</t>
        </is>
      </c>
      <c r="F180" t="inlineStr">
        <is>
          <t>2025-04</t>
        </is>
      </c>
    </row>
    <row r="181">
      <c r="A181" t="inlineStr">
        <is>
          <t>2025-04-04</t>
        </is>
      </c>
      <c r="B181" t="inlineStr">
        <is>
          <t>Planet Fitness</t>
        </is>
      </c>
      <c r="C181" s="2" t="n">
        <v>-24.99</v>
      </c>
      <c r="D181" t="inlineStr">
        <is>
          <t>Health &amp; Fitness</t>
        </is>
      </c>
      <c r="E181" t="inlineStr">
        <is>
          <t>Expense</t>
        </is>
      </c>
      <c r="F181" t="inlineStr">
        <is>
          <t>2025-04</t>
        </is>
      </c>
    </row>
    <row r="182">
      <c r="A182" t="inlineStr">
        <is>
          <t>2025-04-04</t>
        </is>
      </c>
      <c r="B182" t="inlineStr">
        <is>
          <t>PetSmart</t>
        </is>
      </c>
      <c r="C182" s="2" t="n">
        <v>-51.34</v>
      </c>
      <c r="D182" t="inlineStr">
        <is>
          <t>Pets</t>
        </is>
      </c>
      <c r="E182" t="inlineStr">
        <is>
          <t>Expense</t>
        </is>
      </c>
      <c r="F182" t="inlineStr">
        <is>
          <t>2025-04</t>
        </is>
      </c>
    </row>
    <row r="183">
      <c r="A183" t="inlineStr">
        <is>
          <t>2025-04-05</t>
        </is>
      </c>
      <c r="B183" t="inlineStr">
        <is>
          <t>Netflix.com</t>
        </is>
      </c>
      <c r="C183" s="2" t="n">
        <v>-15.49</v>
      </c>
      <c r="D183" t="inlineStr">
        <is>
          <t>Subscriptions</t>
        </is>
      </c>
      <c r="E183" t="inlineStr">
        <is>
          <t>Expense</t>
        </is>
      </c>
      <c r="F183" t="inlineStr">
        <is>
          <t>2025-04</t>
        </is>
      </c>
    </row>
    <row r="184">
      <c r="A184" t="inlineStr">
        <is>
          <t>2025-04-05</t>
        </is>
      </c>
      <c r="B184" t="inlineStr">
        <is>
          <t>Starbucks</t>
        </is>
      </c>
      <c r="C184" s="2" t="n">
        <v>-7.85</v>
      </c>
      <c r="D184" t="inlineStr">
        <is>
          <t>Dining Out</t>
        </is>
      </c>
      <c r="E184" t="inlineStr">
        <is>
          <t>Expense</t>
        </is>
      </c>
      <c r="F184" t="inlineStr">
        <is>
          <t>2025-04</t>
        </is>
      </c>
    </row>
    <row r="185">
      <c r="A185" t="inlineStr">
        <is>
          <t>2025-04-06</t>
        </is>
      </c>
      <c r="B185" t="inlineStr">
        <is>
          <t>Kaiser Permanente Copay</t>
        </is>
      </c>
      <c r="C185" s="2" t="n">
        <v>-26.39</v>
      </c>
      <c r="D185" t="inlineStr">
        <is>
          <t>Health &amp; Fitness</t>
        </is>
      </c>
      <c r="E185" t="inlineStr">
        <is>
          <t>Expense</t>
        </is>
      </c>
      <c r="F185" t="inlineStr">
        <is>
          <t>2025-04</t>
        </is>
      </c>
    </row>
    <row r="186">
      <c r="A186" t="inlineStr">
        <is>
          <t>2025-04-07</t>
        </is>
      </c>
      <c r="B186" t="inlineStr">
        <is>
          <t>Spotify USA</t>
        </is>
      </c>
      <c r="C186" s="2" t="n">
        <v>-11.99</v>
      </c>
      <c r="D186" t="inlineStr">
        <is>
          <t>Subscriptions</t>
        </is>
      </c>
      <c r="E186" t="inlineStr">
        <is>
          <t>Expense</t>
        </is>
      </c>
      <c r="F186" t="inlineStr">
        <is>
          <t>2025-04</t>
        </is>
      </c>
    </row>
    <row r="187">
      <c r="A187" t="inlineStr">
        <is>
          <t>2025-04-07</t>
        </is>
      </c>
      <c r="B187" t="inlineStr">
        <is>
          <t>Local Pizza Co</t>
        </is>
      </c>
      <c r="C187" s="2" t="n">
        <v>-20.11</v>
      </c>
      <c r="D187" t="inlineStr">
        <is>
          <t>Dining Out</t>
        </is>
      </c>
      <c r="E187" t="inlineStr">
        <is>
          <t>Expense</t>
        </is>
      </c>
      <c r="F187" t="inlineStr">
        <is>
          <t>2025-04</t>
        </is>
      </c>
    </row>
    <row r="188">
      <c r="A188" t="inlineStr">
        <is>
          <t>2025-04-08</t>
        </is>
      </c>
      <c r="B188" t="inlineStr">
        <is>
          <t>Shell Gas Station</t>
        </is>
      </c>
      <c r="C188" s="2" t="n">
        <v>-52.66</v>
      </c>
      <c r="D188" t="inlineStr">
        <is>
          <t>Transportation</t>
        </is>
      </c>
      <c r="E188" t="inlineStr">
        <is>
          <t>Expense</t>
        </is>
      </c>
      <c r="F188" t="inlineStr">
        <is>
          <t>2025-04</t>
        </is>
      </c>
    </row>
    <row r="189">
      <c r="A189" t="inlineStr">
        <is>
          <t>2025-04-09</t>
        </is>
      </c>
      <c r="B189" t="inlineStr">
        <is>
          <t>Employer Payroll Direct Dep</t>
        </is>
      </c>
      <c r="C189" s="2" t="n">
        <v>2650</v>
      </c>
      <c r="D189" t="inlineStr">
        <is>
          <t>Income</t>
        </is>
      </c>
      <c r="E189" t="inlineStr">
        <is>
          <t>Income</t>
        </is>
      </c>
      <c r="F189" t="inlineStr">
        <is>
          <t>2025-04</t>
        </is>
      </c>
    </row>
    <row r="190">
      <c r="A190" t="inlineStr">
        <is>
          <t>2025-04-10</t>
        </is>
      </c>
      <c r="B190" t="inlineStr">
        <is>
          <t>Comcast Xfinity</t>
        </is>
      </c>
      <c r="C190" s="2" t="n">
        <v>-91.19</v>
      </c>
      <c r="D190" t="inlineStr">
        <is>
          <t>Utilities</t>
        </is>
      </c>
      <c r="E190" t="inlineStr">
        <is>
          <t>Expense</t>
        </is>
      </c>
      <c r="F190" t="inlineStr">
        <is>
          <t>2025-04</t>
        </is>
      </c>
    </row>
    <row r="191">
      <c r="A191" t="inlineStr">
        <is>
          <t>2025-04-10</t>
        </is>
      </c>
      <c r="B191" t="inlineStr">
        <is>
          <t>ATM Withdrawal</t>
        </is>
      </c>
      <c r="C191" s="2" t="n">
        <v>-64.95</v>
      </c>
      <c r="D191" t="inlineStr">
        <is>
          <t>Cash &amp; Misc</t>
        </is>
      </c>
      <c r="E191" t="inlineStr">
        <is>
          <t>Expense</t>
        </is>
      </c>
      <c r="F191" t="inlineStr">
        <is>
          <t>2025-04</t>
        </is>
      </c>
    </row>
    <row r="192">
      <c r="A192" t="inlineStr">
        <is>
          <t>2025-04-11</t>
        </is>
      </c>
      <c r="B192" t="inlineStr">
        <is>
          <t>Southwest Airlines</t>
        </is>
      </c>
      <c r="C192" s="2" t="n">
        <v>-247.37</v>
      </c>
      <c r="D192" t="inlineStr">
        <is>
          <t>Travel</t>
        </is>
      </c>
      <c r="E192" t="inlineStr">
        <is>
          <t>Expense</t>
        </is>
      </c>
      <c r="F192" t="inlineStr">
        <is>
          <t>2025-04</t>
        </is>
      </c>
    </row>
    <row r="193">
      <c r="A193" t="inlineStr">
        <is>
          <t>2025-04-12</t>
        </is>
      </c>
      <c r="B193" t="inlineStr">
        <is>
          <t>PG&amp;E Electric</t>
        </is>
      </c>
      <c r="C193" s="2" t="n">
        <v>-120.32</v>
      </c>
      <c r="D193" t="inlineStr">
        <is>
          <t>Utilities</t>
        </is>
      </c>
      <c r="E193" t="inlineStr">
        <is>
          <t>Expense</t>
        </is>
      </c>
      <c r="F193" t="inlineStr">
        <is>
          <t>2025-04</t>
        </is>
      </c>
    </row>
    <row r="194">
      <c r="A194" t="inlineStr">
        <is>
          <t>2025-04-12</t>
        </is>
      </c>
      <c r="B194" t="inlineStr">
        <is>
          <t>Safeway</t>
        </is>
      </c>
      <c r="C194" s="2" t="n">
        <v>-98.54000000000001</v>
      </c>
      <c r="D194" t="inlineStr">
        <is>
          <t>Groceries</t>
        </is>
      </c>
      <c r="E194" t="inlineStr">
        <is>
          <t>Expense</t>
        </is>
      </c>
      <c r="F194" t="inlineStr">
        <is>
          <t>2025-04</t>
        </is>
      </c>
    </row>
    <row r="195">
      <c r="A195" t="inlineStr">
        <is>
          <t>2025-04-12</t>
        </is>
      </c>
      <c r="B195" t="inlineStr">
        <is>
          <t>Ticketmaster</t>
        </is>
      </c>
      <c r="C195" s="2" t="n">
        <v>-92.47</v>
      </c>
      <c r="D195" t="inlineStr">
        <is>
          <t>Entertainment</t>
        </is>
      </c>
      <c r="E195" t="inlineStr">
        <is>
          <t>Expense</t>
        </is>
      </c>
      <c r="F195" t="inlineStr">
        <is>
          <t>2025-04</t>
        </is>
      </c>
    </row>
    <row r="196">
      <c r="A196" t="inlineStr">
        <is>
          <t>2025-04-13</t>
        </is>
      </c>
      <c r="B196" t="inlineStr">
        <is>
          <t>CVS Pharmacy</t>
        </is>
      </c>
      <c r="C196" s="2" t="n">
        <v>-35.88</v>
      </c>
      <c r="D196" t="inlineStr">
        <is>
          <t>Health &amp; Fitness</t>
        </is>
      </c>
      <c r="E196" t="inlineStr">
        <is>
          <t>Expense</t>
        </is>
      </c>
      <c r="F196" t="inlineStr">
        <is>
          <t>2025-04</t>
        </is>
      </c>
    </row>
    <row r="197">
      <c r="A197" t="inlineStr">
        <is>
          <t>2025-04-13</t>
        </is>
      </c>
      <c r="B197" t="inlineStr">
        <is>
          <t>Southwest Airlines</t>
        </is>
      </c>
      <c r="C197" s="2" t="n">
        <v>-284.56</v>
      </c>
      <c r="D197" t="inlineStr">
        <is>
          <t>Travel</t>
        </is>
      </c>
      <c r="E197" t="inlineStr">
        <is>
          <t>Expense</t>
        </is>
      </c>
      <c r="F197" t="inlineStr">
        <is>
          <t>2025-04</t>
        </is>
      </c>
    </row>
    <row r="198">
      <c r="A198" t="inlineStr">
        <is>
          <t>2025-04-13</t>
        </is>
      </c>
      <c r="B198" t="inlineStr">
        <is>
          <t>Target</t>
        </is>
      </c>
      <c r="C198" s="2" t="n">
        <v>-68.81999999999999</v>
      </c>
      <c r="D198" t="inlineStr">
        <is>
          <t>Shopping</t>
        </is>
      </c>
      <c r="E198" t="inlineStr">
        <is>
          <t>Expense</t>
        </is>
      </c>
      <c r="F198" t="inlineStr">
        <is>
          <t>2025-04</t>
        </is>
      </c>
    </row>
    <row r="199">
      <c r="A199" t="inlineStr">
        <is>
          <t>2025-04-14</t>
        </is>
      </c>
      <c r="B199" t="inlineStr">
        <is>
          <t>Verizon Wireless</t>
        </is>
      </c>
      <c r="C199" s="2" t="n">
        <v>-80.77</v>
      </c>
      <c r="D199" t="inlineStr">
        <is>
          <t>Utilities</t>
        </is>
      </c>
      <c r="E199" t="inlineStr">
        <is>
          <t>Expense</t>
        </is>
      </c>
      <c r="F199" t="inlineStr">
        <is>
          <t>2025-04</t>
        </is>
      </c>
    </row>
    <row r="200">
      <c r="A200" t="inlineStr">
        <is>
          <t>2025-04-14</t>
        </is>
      </c>
      <c r="B200" t="inlineStr">
        <is>
          <t>PetSmart</t>
        </is>
      </c>
      <c r="C200" s="2" t="n">
        <v>-21.45</v>
      </c>
      <c r="D200" t="inlineStr">
        <is>
          <t>Pets</t>
        </is>
      </c>
      <c r="E200" t="inlineStr">
        <is>
          <t>Expense</t>
        </is>
      </c>
      <c r="F200" t="inlineStr">
        <is>
          <t>2025-04</t>
        </is>
      </c>
    </row>
    <row r="201">
      <c r="A201" t="inlineStr">
        <is>
          <t>2025-04-15</t>
        </is>
      </c>
      <c r="B201" t="inlineStr">
        <is>
          <t>Local Bar &amp; Grill</t>
        </is>
      </c>
      <c r="C201" s="2" t="n">
        <v>-45.35</v>
      </c>
      <c r="D201" t="inlineStr">
        <is>
          <t>Entertainment</t>
        </is>
      </c>
      <c r="E201" t="inlineStr">
        <is>
          <t>Expense</t>
        </is>
      </c>
      <c r="F201" t="inlineStr">
        <is>
          <t>2025-04</t>
        </is>
      </c>
    </row>
    <row r="202">
      <c r="A202" t="inlineStr">
        <is>
          <t>2025-04-16</t>
        </is>
      </c>
      <c r="B202" t="inlineStr">
        <is>
          <t>Local Pizza Co</t>
        </is>
      </c>
      <c r="C202" s="2" t="n">
        <v>-31.73</v>
      </c>
      <c r="D202" t="inlineStr">
        <is>
          <t>Dining Out</t>
        </is>
      </c>
      <c r="E202" t="inlineStr">
        <is>
          <t>Expense</t>
        </is>
      </c>
      <c r="F202" t="inlineStr">
        <is>
          <t>2025-04</t>
        </is>
      </c>
    </row>
    <row r="203">
      <c r="A203" t="inlineStr">
        <is>
          <t>2025-04-16</t>
        </is>
      </c>
      <c r="B203" t="inlineStr">
        <is>
          <t>Safeway</t>
        </is>
      </c>
      <c r="C203" s="2" t="n">
        <v>-102.55</v>
      </c>
      <c r="D203" t="inlineStr">
        <is>
          <t>Groceries</t>
        </is>
      </c>
      <c r="E203" t="inlineStr">
        <is>
          <t>Expense</t>
        </is>
      </c>
      <c r="F203" t="inlineStr">
        <is>
          <t>2025-04</t>
        </is>
      </c>
    </row>
    <row r="204">
      <c r="A204" t="inlineStr">
        <is>
          <t>2025-04-17</t>
        </is>
      </c>
      <c r="B204" t="inlineStr">
        <is>
          <t>Safeway</t>
        </is>
      </c>
      <c r="C204" s="2" t="n">
        <v>-36.72</v>
      </c>
      <c r="D204" t="inlineStr">
        <is>
          <t>Groceries</t>
        </is>
      </c>
      <c r="E204" t="inlineStr">
        <is>
          <t>Expense</t>
        </is>
      </c>
      <c r="F204" t="inlineStr">
        <is>
          <t>2025-04</t>
        </is>
      </c>
    </row>
    <row r="205">
      <c r="A205" t="inlineStr">
        <is>
          <t>2025-04-17</t>
        </is>
      </c>
      <c r="B205" t="inlineStr">
        <is>
          <t>Airbnb</t>
        </is>
      </c>
      <c r="C205" s="2" t="n">
        <v>-151.21</v>
      </c>
      <c r="D205" t="inlineStr">
        <is>
          <t>Travel</t>
        </is>
      </c>
      <c r="E205" t="inlineStr">
        <is>
          <t>Expense</t>
        </is>
      </c>
      <c r="F205" t="inlineStr">
        <is>
          <t>2025-04</t>
        </is>
      </c>
    </row>
    <row r="206">
      <c r="A206" t="inlineStr">
        <is>
          <t>2025-04-18</t>
        </is>
      </c>
      <c r="B206" t="inlineStr">
        <is>
          <t>Amazon Prime</t>
        </is>
      </c>
      <c r="C206" s="2" t="n">
        <v>-14.99</v>
      </c>
      <c r="D206" t="inlineStr">
        <is>
          <t>Subscriptions</t>
        </is>
      </c>
      <c r="E206" t="inlineStr">
        <is>
          <t>Expense</t>
        </is>
      </c>
      <c r="F206" t="inlineStr">
        <is>
          <t>2025-04</t>
        </is>
      </c>
    </row>
    <row r="207">
      <c r="A207" t="inlineStr">
        <is>
          <t>2025-04-18</t>
        </is>
      </c>
      <c r="B207" t="inlineStr">
        <is>
          <t>Chipotle</t>
        </is>
      </c>
      <c r="C207" s="2" t="n">
        <v>-10.56</v>
      </c>
      <c r="D207" t="inlineStr">
        <is>
          <t>Dining Out</t>
        </is>
      </c>
      <c r="E207" t="inlineStr">
        <is>
          <t>Expense</t>
        </is>
      </c>
      <c r="F207" t="inlineStr">
        <is>
          <t>2025-04</t>
        </is>
      </c>
    </row>
    <row r="208">
      <c r="A208" t="inlineStr">
        <is>
          <t>2025-04-19</t>
        </is>
      </c>
      <c r="B208" t="inlineStr">
        <is>
          <t>ATM Withdrawal</t>
        </is>
      </c>
      <c r="C208" s="2" t="n">
        <v>-59.61</v>
      </c>
      <c r="D208" t="inlineStr">
        <is>
          <t>Cash &amp; Misc</t>
        </is>
      </c>
      <c r="E208" t="inlineStr">
        <is>
          <t>Expense</t>
        </is>
      </c>
      <c r="F208" t="inlineStr">
        <is>
          <t>2025-04</t>
        </is>
      </c>
    </row>
    <row r="209">
      <c r="A209" t="inlineStr">
        <is>
          <t>2025-04-20</t>
        </is>
      </c>
      <c r="B209" t="inlineStr">
        <is>
          <t>Ticketmaster</t>
        </is>
      </c>
      <c r="C209" s="2" t="n">
        <v>-70.61</v>
      </c>
      <c r="D209" t="inlineStr">
        <is>
          <t>Entertainment</t>
        </is>
      </c>
      <c r="E209" t="inlineStr">
        <is>
          <t>Expense</t>
        </is>
      </c>
      <c r="F209" t="inlineStr">
        <is>
          <t>2025-04</t>
        </is>
      </c>
    </row>
    <row r="210">
      <c r="A210" t="inlineStr">
        <is>
          <t>2025-04-20</t>
        </is>
      </c>
      <c r="B210" t="inlineStr">
        <is>
          <t>Southwest Airlines</t>
        </is>
      </c>
      <c r="C210" s="2" t="n">
        <v>-213.07</v>
      </c>
      <c r="D210" t="inlineStr">
        <is>
          <t>Travel</t>
        </is>
      </c>
      <c r="E210" t="inlineStr">
        <is>
          <t>Expense</t>
        </is>
      </c>
      <c r="F210" t="inlineStr">
        <is>
          <t>2025-04</t>
        </is>
      </c>
    </row>
    <row r="211">
      <c r="A211" t="inlineStr">
        <is>
          <t>2025-04-22</t>
        </is>
      </c>
      <c r="B211" t="inlineStr">
        <is>
          <t>NYTimes Subscription</t>
        </is>
      </c>
      <c r="C211" s="2" t="n">
        <v>-17</v>
      </c>
      <c r="D211" t="inlineStr">
        <is>
          <t>Subscriptions</t>
        </is>
      </c>
      <c r="E211" t="inlineStr">
        <is>
          <t>Expense</t>
        </is>
      </c>
      <c r="F211" t="inlineStr">
        <is>
          <t>2025-04</t>
        </is>
      </c>
    </row>
    <row r="212">
      <c r="A212" t="inlineStr">
        <is>
          <t>2025-04-23</t>
        </is>
      </c>
      <c r="B212" t="inlineStr">
        <is>
          <t>Employer Payroll Direct Dep</t>
        </is>
      </c>
      <c r="C212" s="2" t="n">
        <v>2650</v>
      </c>
      <c r="D212" t="inlineStr">
        <is>
          <t>Income</t>
        </is>
      </c>
      <c r="E212" t="inlineStr">
        <is>
          <t>Income</t>
        </is>
      </c>
      <c r="F212" t="inlineStr">
        <is>
          <t>2025-04</t>
        </is>
      </c>
    </row>
    <row r="213">
      <c r="A213" t="inlineStr">
        <is>
          <t>2025-04-23</t>
        </is>
      </c>
      <c r="B213" t="inlineStr">
        <is>
          <t>AMC Theatres</t>
        </is>
      </c>
      <c r="C213" s="2" t="n">
        <v>-17.59</v>
      </c>
      <c r="D213" t="inlineStr">
        <is>
          <t>Entertainment</t>
        </is>
      </c>
      <c r="E213" t="inlineStr">
        <is>
          <t>Expense</t>
        </is>
      </c>
      <c r="F213" t="inlineStr">
        <is>
          <t>2025-04</t>
        </is>
      </c>
    </row>
    <row r="214">
      <c r="A214" t="inlineStr">
        <is>
          <t>2025-04-25</t>
        </is>
      </c>
      <c r="B214" t="inlineStr">
        <is>
          <t>Student Loan Servicer</t>
        </is>
      </c>
      <c r="C214" s="2" t="n">
        <v>-220</v>
      </c>
      <c r="D214" t="inlineStr">
        <is>
          <t>Debt Payments</t>
        </is>
      </c>
      <c r="E214" t="inlineStr">
        <is>
          <t>Expense</t>
        </is>
      </c>
      <c r="F214" t="inlineStr">
        <is>
          <t>2025-04</t>
        </is>
      </c>
    </row>
    <row r="215">
      <c r="A215" t="inlineStr">
        <is>
          <t>2025-04-25</t>
        </is>
      </c>
      <c r="B215" t="inlineStr">
        <is>
          <t>Whole Foods Market</t>
        </is>
      </c>
      <c r="C215" s="2" t="n">
        <v>-69.03</v>
      </c>
      <c r="D215" t="inlineStr">
        <is>
          <t>Groceries</t>
        </is>
      </c>
      <c r="E215" t="inlineStr">
        <is>
          <t>Expense</t>
        </is>
      </c>
      <c r="F215" t="inlineStr">
        <is>
          <t>2025-04</t>
        </is>
      </c>
    </row>
    <row r="216">
      <c r="A216" t="inlineStr">
        <is>
          <t>2025-04-25</t>
        </is>
      </c>
      <c r="B216" t="inlineStr">
        <is>
          <t>Amazon.com</t>
        </is>
      </c>
      <c r="C216" s="2" t="n">
        <v>-37.91</v>
      </c>
      <c r="D216" t="inlineStr">
        <is>
          <t>Shopping</t>
        </is>
      </c>
      <c r="E216" t="inlineStr">
        <is>
          <t>Expense</t>
        </is>
      </c>
      <c r="F216" t="inlineStr">
        <is>
          <t>2025-04</t>
        </is>
      </c>
    </row>
    <row r="217">
      <c r="A217" t="inlineStr">
        <is>
          <t>2025-04-25</t>
        </is>
      </c>
      <c r="B217" t="inlineStr">
        <is>
          <t>Safeway</t>
        </is>
      </c>
      <c r="C217" s="2" t="n">
        <v>-79.70999999999999</v>
      </c>
      <c r="D217" t="inlineStr">
        <is>
          <t>Groceries</t>
        </is>
      </c>
      <c r="E217" t="inlineStr">
        <is>
          <t>Expense</t>
        </is>
      </c>
      <c r="F217" t="inlineStr">
        <is>
          <t>2025-04</t>
        </is>
      </c>
    </row>
    <row r="218">
      <c r="A218" t="inlineStr">
        <is>
          <t>2025-04-26</t>
        </is>
      </c>
      <c r="B218" t="inlineStr">
        <is>
          <t>Venmo Payment</t>
        </is>
      </c>
      <c r="C218" s="2" t="n">
        <v>-58.51</v>
      </c>
      <c r="D218" t="inlineStr">
        <is>
          <t>Cash &amp; Misc</t>
        </is>
      </c>
      <c r="E218" t="inlineStr">
        <is>
          <t>Expense</t>
        </is>
      </c>
      <c r="F218" t="inlineStr">
        <is>
          <t>2025-04</t>
        </is>
      </c>
    </row>
    <row r="219">
      <c r="A219" t="inlineStr">
        <is>
          <t>2025-04-27</t>
        </is>
      </c>
      <c r="B219" t="inlineStr">
        <is>
          <t>Bay Area Rapid Transit</t>
        </is>
      </c>
      <c r="C219" s="2" t="n">
        <v>-9.65</v>
      </c>
      <c r="D219" t="inlineStr">
        <is>
          <t>Transportation</t>
        </is>
      </c>
      <c r="E219" t="inlineStr">
        <is>
          <t>Expense</t>
        </is>
      </c>
      <c r="F219" t="inlineStr">
        <is>
          <t>2025-04</t>
        </is>
      </c>
    </row>
    <row r="220">
      <c r="A220" t="inlineStr">
        <is>
          <t>2025-04-27</t>
        </is>
      </c>
      <c r="B220" t="inlineStr">
        <is>
          <t>Best Buy</t>
        </is>
      </c>
      <c r="C220" s="2" t="n">
        <v>-237.06</v>
      </c>
      <c r="D220" t="inlineStr">
        <is>
          <t>Shopping</t>
        </is>
      </c>
      <c r="E220" t="inlineStr">
        <is>
          <t>Expense</t>
        </is>
      </c>
      <c r="F220" t="inlineStr">
        <is>
          <t>2025-04</t>
        </is>
      </c>
    </row>
    <row r="221">
      <c r="A221" t="inlineStr">
        <is>
          <t>2025-04-28</t>
        </is>
      </c>
      <c r="B221" t="inlineStr">
        <is>
          <t>The Cheesecake Factory</t>
        </is>
      </c>
      <c r="C221" s="2" t="n">
        <v>-66.11</v>
      </c>
      <c r="D221" t="inlineStr">
        <is>
          <t>Dining Out</t>
        </is>
      </c>
      <c r="E221" t="inlineStr">
        <is>
          <t>Expense</t>
        </is>
      </c>
      <c r="F221" t="inlineStr">
        <is>
          <t>2025-04</t>
        </is>
      </c>
    </row>
    <row r="222">
      <c r="A222" t="inlineStr">
        <is>
          <t>2025-04-29</t>
        </is>
      </c>
      <c r="B222" t="inlineStr">
        <is>
          <t>CVS Pharmacy</t>
        </is>
      </c>
      <c r="C222" s="2" t="n">
        <v>-12</v>
      </c>
      <c r="D222" t="inlineStr">
        <is>
          <t>Health &amp; Fitness</t>
        </is>
      </c>
      <c r="E222" t="inlineStr">
        <is>
          <t>Expense</t>
        </is>
      </c>
      <c r="F222" t="inlineStr">
        <is>
          <t>2025-04</t>
        </is>
      </c>
    </row>
    <row r="223">
      <c r="A223" t="inlineStr">
        <is>
          <t>2025-05-01</t>
        </is>
      </c>
      <c r="B223" t="inlineStr">
        <is>
          <t>Rent Payment - Sunrise Apartments</t>
        </is>
      </c>
      <c r="C223" s="2" t="n">
        <v>-1450</v>
      </c>
      <c r="D223" t="inlineStr">
        <is>
          <t>Housing</t>
        </is>
      </c>
      <c r="E223" t="inlineStr">
        <is>
          <t>Expense</t>
        </is>
      </c>
      <c r="F223" t="inlineStr">
        <is>
          <t>2025-05</t>
        </is>
      </c>
    </row>
    <row r="224">
      <c r="A224" t="inlineStr">
        <is>
          <t>2025-05-01</t>
        </is>
      </c>
      <c r="B224" t="inlineStr">
        <is>
          <t>Ticketmaster</t>
        </is>
      </c>
      <c r="C224" s="2" t="n">
        <v>-83.63</v>
      </c>
      <c r="D224" t="inlineStr">
        <is>
          <t>Entertainment</t>
        </is>
      </c>
      <c r="E224" t="inlineStr">
        <is>
          <t>Expense</t>
        </is>
      </c>
      <c r="F224" t="inlineStr">
        <is>
          <t>2025-05</t>
        </is>
      </c>
    </row>
    <row r="225">
      <c r="A225" t="inlineStr">
        <is>
          <t>2025-05-02</t>
        </is>
      </c>
      <c r="B225" t="inlineStr">
        <is>
          <t>Starbucks</t>
        </is>
      </c>
      <c r="C225" s="2" t="n">
        <v>-7.37</v>
      </c>
      <c r="D225" t="inlineStr">
        <is>
          <t>Dining Out</t>
        </is>
      </c>
      <c r="E225" t="inlineStr">
        <is>
          <t>Expense</t>
        </is>
      </c>
      <c r="F225" t="inlineStr">
        <is>
          <t>2025-05</t>
        </is>
      </c>
    </row>
    <row r="226">
      <c r="A226" t="inlineStr">
        <is>
          <t>2025-05-02</t>
        </is>
      </c>
      <c r="B226" t="inlineStr">
        <is>
          <t>Amazon.com</t>
        </is>
      </c>
      <c r="C226" s="2" t="n">
        <v>-24.27</v>
      </c>
      <c r="D226" t="inlineStr">
        <is>
          <t>Shopping</t>
        </is>
      </c>
      <c r="E226" t="inlineStr">
        <is>
          <t>Expense</t>
        </is>
      </c>
      <c r="F226" t="inlineStr">
        <is>
          <t>2025-05</t>
        </is>
      </c>
    </row>
    <row r="227">
      <c r="A227" t="inlineStr">
        <is>
          <t>2025-05-03</t>
        </is>
      </c>
      <c r="B227" t="inlineStr">
        <is>
          <t>Geico Insurance</t>
        </is>
      </c>
      <c r="C227" s="2" t="n">
        <v>-137.33</v>
      </c>
      <c r="D227" t="inlineStr">
        <is>
          <t>Insurance</t>
        </is>
      </c>
      <c r="E227" t="inlineStr">
        <is>
          <t>Expense</t>
        </is>
      </c>
      <c r="F227" t="inlineStr">
        <is>
          <t>2025-05</t>
        </is>
      </c>
    </row>
    <row r="228">
      <c r="A228" t="inlineStr">
        <is>
          <t>2025-05-03</t>
        </is>
      </c>
      <c r="B228" t="inlineStr">
        <is>
          <t>The Cheesecake Factory</t>
        </is>
      </c>
      <c r="C228" s="2" t="n">
        <v>-66.84999999999999</v>
      </c>
      <c r="D228" t="inlineStr">
        <is>
          <t>Dining Out</t>
        </is>
      </c>
      <c r="E228" t="inlineStr">
        <is>
          <t>Expense</t>
        </is>
      </c>
      <c r="F228" t="inlineStr">
        <is>
          <t>2025-05</t>
        </is>
      </c>
    </row>
    <row r="229">
      <c r="A229" t="inlineStr">
        <is>
          <t>2025-05-03</t>
        </is>
      </c>
      <c r="B229" t="inlineStr">
        <is>
          <t>Whole Foods Market</t>
        </is>
      </c>
      <c r="C229" s="2" t="n">
        <v>-42.57</v>
      </c>
      <c r="D229" t="inlineStr">
        <is>
          <t>Groceries</t>
        </is>
      </c>
      <c r="E229" t="inlineStr">
        <is>
          <t>Expense</t>
        </is>
      </c>
      <c r="F229" t="inlineStr">
        <is>
          <t>2025-05</t>
        </is>
      </c>
    </row>
    <row r="230">
      <c r="A230" t="inlineStr">
        <is>
          <t>2025-05-04</t>
        </is>
      </c>
      <c r="B230" t="inlineStr">
        <is>
          <t>Planet Fitness</t>
        </is>
      </c>
      <c r="C230" s="2" t="n">
        <v>-24.99</v>
      </c>
      <c r="D230" t="inlineStr">
        <is>
          <t>Health &amp; Fitness</t>
        </is>
      </c>
      <c r="E230" t="inlineStr">
        <is>
          <t>Expense</t>
        </is>
      </c>
      <c r="F230" t="inlineStr">
        <is>
          <t>2025-05</t>
        </is>
      </c>
    </row>
    <row r="231">
      <c r="A231" t="inlineStr">
        <is>
          <t>2025-05-04</t>
        </is>
      </c>
      <c r="B231" t="inlineStr">
        <is>
          <t>Steam Games</t>
        </is>
      </c>
      <c r="C231" s="2" t="n">
        <v>-13.45</v>
      </c>
      <c r="D231" t="inlineStr">
        <is>
          <t>Entertainment</t>
        </is>
      </c>
      <c r="E231" t="inlineStr">
        <is>
          <t>Expense</t>
        </is>
      </c>
      <c r="F231" t="inlineStr">
        <is>
          <t>2025-05</t>
        </is>
      </c>
    </row>
    <row r="232">
      <c r="A232" t="inlineStr">
        <is>
          <t>2025-05-05</t>
        </is>
      </c>
      <c r="B232" t="inlineStr">
        <is>
          <t>Netflix.com</t>
        </is>
      </c>
      <c r="C232" s="2" t="n">
        <v>-15.49</v>
      </c>
      <c r="D232" t="inlineStr">
        <is>
          <t>Subscriptions</t>
        </is>
      </c>
      <c r="E232" t="inlineStr">
        <is>
          <t>Expense</t>
        </is>
      </c>
      <c r="F232" t="inlineStr">
        <is>
          <t>2025-05</t>
        </is>
      </c>
    </row>
    <row r="233">
      <c r="A233" t="inlineStr">
        <is>
          <t>2025-05-05</t>
        </is>
      </c>
      <c r="B233" t="inlineStr">
        <is>
          <t>Trader Joe's</t>
        </is>
      </c>
      <c r="C233" s="2" t="n">
        <v>-80.22</v>
      </c>
      <c r="D233" t="inlineStr">
        <is>
          <t>Groceries</t>
        </is>
      </c>
      <c r="E233" t="inlineStr">
        <is>
          <t>Expense</t>
        </is>
      </c>
      <c r="F233" t="inlineStr">
        <is>
          <t>2025-05</t>
        </is>
      </c>
    </row>
    <row r="234">
      <c r="A234" t="inlineStr">
        <is>
          <t>2025-05-05</t>
        </is>
      </c>
      <c r="B234" t="inlineStr">
        <is>
          <t>PetSmart</t>
        </is>
      </c>
      <c r="C234" s="2" t="n">
        <v>-25.28</v>
      </c>
      <c r="D234" t="inlineStr">
        <is>
          <t>Pets</t>
        </is>
      </c>
      <c r="E234" t="inlineStr">
        <is>
          <t>Expense</t>
        </is>
      </c>
      <c r="F234" t="inlineStr">
        <is>
          <t>2025-05</t>
        </is>
      </c>
    </row>
    <row r="235">
      <c r="A235" t="inlineStr">
        <is>
          <t>2025-05-06</t>
        </is>
      </c>
      <c r="B235" t="inlineStr">
        <is>
          <t>ATM Withdrawal</t>
        </is>
      </c>
      <c r="C235" s="2" t="n">
        <v>-82.44</v>
      </c>
      <c r="D235" t="inlineStr">
        <is>
          <t>Cash &amp; Misc</t>
        </is>
      </c>
      <c r="E235" t="inlineStr">
        <is>
          <t>Expense</t>
        </is>
      </c>
      <c r="F235" t="inlineStr">
        <is>
          <t>2025-05</t>
        </is>
      </c>
    </row>
    <row r="236">
      <c r="A236" t="inlineStr">
        <is>
          <t>2025-05-06</t>
        </is>
      </c>
      <c r="B236" t="inlineStr">
        <is>
          <t>Airbnb</t>
        </is>
      </c>
      <c r="C236" s="2" t="n">
        <v>-160.51</v>
      </c>
      <c r="D236" t="inlineStr">
        <is>
          <t>Travel</t>
        </is>
      </c>
      <c r="E236" t="inlineStr">
        <is>
          <t>Expense</t>
        </is>
      </c>
      <c r="F236" t="inlineStr">
        <is>
          <t>2025-05</t>
        </is>
      </c>
    </row>
    <row r="237">
      <c r="A237" t="inlineStr">
        <is>
          <t>2025-05-06</t>
        </is>
      </c>
      <c r="B237" t="inlineStr">
        <is>
          <t>H&amp;M</t>
        </is>
      </c>
      <c r="C237" s="2" t="n">
        <v>-65.03</v>
      </c>
      <c r="D237" t="inlineStr">
        <is>
          <t>Shopping</t>
        </is>
      </c>
      <c r="E237" t="inlineStr">
        <is>
          <t>Expense</t>
        </is>
      </c>
      <c r="F237" t="inlineStr">
        <is>
          <t>2025-05</t>
        </is>
      </c>
    </row>
    <row r="238">
      <c r="A238" t="inlineStr">
        <is>
          <t>2025-05-07</t>
        </is>
      </c>
      <c r="B238" t="inlineStr">
        <is>
          <t>Spotify USA</t>
        </is>
      </c>
      <c r="C238" s="2" t="n">
        <v>-11.99</v>
      </c>
      <c r="D238" t="inlineStr">
        <is>
          <t>Subscriptions</t>
        </is>
      </c>
      <c r="E238" t="inlineStr">
        <is>
          <t>Expense</t>
        </is>
      </c>
      <c r="F238" t="inlineStr">
        <is>
          <t>2025-05</t>
        </is>
      </c>
    </row>
    <row r="239">
      <c r="A239" t="inlineStr">
        <is>
          <t>2025-05-07</t>
        </is>
      </c>
      <c r="B239" t="inlineStr">
        <is>
          <t>Employer Payroll Direct Dep</t>
        </is>
      </c>
      <c r="C239" s="2" t="n">
        <v>2650</v>
      </c>
      <c r="D239" t="inlineStr">
        <is>
          <t>Income</t>
        </is>
      </c>
      <c r="E239" t="inlineStr">
        <is>
          <t>Income</t>
        </is>
      </c>
      <c r="F239" t="inlineStr">
        <is>
          <t>2025-05</t>
        </is>
      </c>
    </row>
    <row r="240">
      <c r="A240" t="inlineStr">
        <is>
          <t>2025-05-07</t>
        </is>
      </c>
      <c r="B240" t="inlineStr">
        <is>
          <t>Venmo Payment</t>
        </is>
      </c>
      <c r="C240" s="2" t="n">
        <v>-45.22</v>
      </c>
      <c r="D240" t="inlineStr">
        <is>
          <t>Cash &amp; Misc</t>
        </is>
      </c>
      <c r="E240" t="inlineStr">
        <is>
          <t>Expense</t>
        </is>
      </c>
      <c r="F240" t="inlineStr">
        <is>
          <t>2025-05</t>
        </is>
      </c>
    </row>
    <row r="241">
      <c r="A241" t="inlineStr">
        <is>
          <t>2025-05-07</t>
        </is>
      </c>
      <c r="B241" t="inlineStr">
        <is>
          <t>H&amp;M</t>
        </is>
      </c>
      <c r="C241" s="2" t="n">
        <v>-45.95</v>
      </c>
      <c r="D241" t="inlineStr">
        <is>
          <t>Shopping</t>
        </is>
      </c>
      <c r="E241" t="inlineStr">
        <is>
          <t>Expense</t>
        </is>
      </c>
      <c r="F241" t="inlineStr">
        <is>
          <t>2025-05</t>
        </is>
      </c>
    </row>
    <row r="242">
      <c r="A242" t="inlineStr">
        <is>
          <t>2025-05-07</t>
        </is>
      </c>
      <c r="B242" t="inlineStr">
        <is>
          <t>Amazon.com</t>
        </is>
      </c>
      <c r="C242" s="2" t="n">
        <v>-126.3</v>
      </c>
      <c r="D242" t="inlineStr">
        <is>
          <t>Shopping</t>
        </is>
      </c>
      <c r="E242" t="inlineStr">
        <is>
          <t>Expense</t>
        </is>
      </c>
      <c r="F242" t="inlineStr">
        <is>
          <t>2025-05</t>
        </is>
      </c>
    </row>
    <row r="243">
      <c r="A243" t="inlineStr">
        <is>
          <t>2025-05-09</t>
        </is>
      </c>
      <c r="B243" t="inlineStr">
        <is>
          <t>Amazon.com</t>
        </is>
      </c>
      <c r="C243" s="2" t="n">
        <v>-115.07</v>
      </c>
      <c r="D243" t="inlineStr">
        <is>
          <t>Shopping</t>
        </is>
      </c>
      <c r="E243" t="inlineStr">
        <is>
          <t>Expense</t>
        </is>
      </c>
      <c r="F243" t="inlineStr">
        <is>
          <t>2025-05</t>
        </is>
      </c>
    </row>
    <row r="244">
      <c r="A244" t="inlineStr">
        <is>
          <t>2025-05-09</t>
        </is>
      </c>
      <c r="B244" t="inlineStr">
        <is>
          <t>Ticketmaster</t>
        </is>
      </c>
      <c r="C244" s="2" t="n">
        <v>-77</v>
      </c>
      <c r="D244" t="inlineStr">
        <is>
          <t>Entertainment</t>
        </is>
      </c>
      <c r="E244" t="inlineStr">
        <is>
          <t>Expense</t>
        </is>
      </c>
      <c r="F244" t="inlineStr">
        <is>
          <t>2025-05</t>
        </is>
      </c>
    </row>
    <row r="245">
      <c r="A245" t="inlineStr">
        <is>
          <t>2025-05-09</t>
        </is>
      </c>
      <c r="B245" t="inlineStr">
        <is>
          <t>PetSmart</t>
        </is>
      </c>
      <c r="C245" s="2" t="n">
        <v>-62.55</v>
      </c>
      <c r="D245" t="inlineStr">
        <is>
          <t>Pets</t>
        </is>
      </c>
      <c r="E245" t="inlineStr">
        <is>
          <t>Expense</t>
        </is>
      </c>
      <c r="F245" t="inlineStr">
        <is>
          <t>2025-05</t>
        </is>
      </c>
    </row>
    <row r="246">
      <c r="A246" t="inlineStr">
        <is>
          <t>2025-05-10</t>
        </is>
      </c>
      <c r="B246" t="inlineStr">
        <is>
          <t>Comcast Xfinity</t>
        </is>
      </c>
      <c r="C246" s="2" t="n">
        <v>-91.36</v>
      </c>
      <c r="D246" t="inlineStr">
        <is>
          <t>Utilities</t>
        </is>
      </c>
      <c r="E246" t="inlineStr">
        <is>
          <t>Expense</t>
        </is>
      </c>
      <c r="F246" t="inlineStr">
        <is>
          <t>2025-05</t>
        </is>
      </c>
    </row>
    <row r="247">
      <c r="A247" t="inlineStr">
        <is>
          <t>2025-05-10</t>
        </is>
      </c>
      <c r="B247" t="inlineStr">
        <is>
          <t>Bay Area Rapid Transit</t>
        </is>
      </c>
      <c r="C247" s="2" t="n">
        <v>-8.550000000000001</v>
      </c>
      <c r="D247" t="inlineStr">
        <is>
          <t>Transportation</t>
        </is>
      </c>
      <c r="E247" t="inlineStr">
        <is>
          <t>Expense</t>
        </is>
      </c>
      <c r="F247" t="inlineStr">
        <is>
          <t>2025-05</t>
        </is>
      </c>
    </row>
    <row r="248">
      <c r="A248" t="inlineStr">
        <is>
          <t>2025-05-11</t>
        </is>
      </c>
      <c r="B248" t="inlineStr">
        <is>
          <t>H&amp;M</t>
        </is>
      </c>
      <c r="C248" s="2" t="n">
        <v>-82.22</v>
      </c>
      <c r="D248" t="inlineStr">
        <is>
          <t>Shopping</t>
        </is>
      </c>
      <c r="E248" t="inlineStr">
        <is>
          <t>Expense</t>
        </is>
      </c>
      <c r="F248" t="inlineStr">
        <is>
          <t>2025-05</t>
        </is>
      </c>
    </row>
    <row r="249">
      <c r="A249" t="inlineStr">
        <is>
          <t>2025-05-12</t>
        </is>
      </c>
      <c r="B249" t="inlineStr">
        <is>
          <t>PG&amp;E Electric</t>
        </is>
      </c>
      <c r="C249" s="2" t="n">
        <v>-85.54000000000001</v>
      </c>
      <c r="D249" t="inlineStr">
        <is>
          <t>Utilities</t>
        </is>
      </c>
      <c r="E249" t="inlineStr">
        <is>
          <t>Expense</t>
        </is>
      </c>
      <c r="F249" t="inlineStr">
        <is>
          <t>2025-05</t>
        </is>
      </c>
    </row>
    <row r="250">
      <c r="A250" t="inlineStr">
        <is>
          <t>2025-05-12</t>
        </is>
      </c>
      <c r="B250" t="inlineStr">
        <is>
          <t>H&amp;M</t>
        </is>
      </c>
      <c r="C250" s="2" t="n">
        <v>-61.13</v>
      </c>
      <c r="D250" t="inlineStr">
        <is>
          <t>Shopping</t>
        </is>
      </c>
      <c r="E250" t="inlineStr">
        <is>
          <t>Expense</t>
        </is>
      </c>
      <c r="F250" t="inlineStr">
        <is>
          <t>2025-05</t>
        </is>
      </c>
    </row>
    <row r="251">
      <c r="A251" t="inlineStr">
        <is>
          <t>2025-05-12</t>
        </is>
      </c>
      <c r="B251" t="inlineStr">
        <is>
          <t>Lyft</t>
        </is>
      </c>
      <c r="C251" s="2" t="n">
        <v>-11.71</v>
      </c>
      <c r="D251" t="inlineStr">
        <is>
          <t>Transportation</t>
        </is>
      </c>
      <c r="E251" t="inlineStr">
        <is>
          <t>Expense</t>
        </is>
      </c>
      <c r="F251" t="inlineStr">
        <is>
          <t>2025-05</t>
        </is>
      </c>
    </row>
    <row r="252">
      <c r="A252" t="inlineStr">
        <is>
          <t>2025-05-13</t>
        </is>
      </c>
      <c r="B252" t="inlineStr">
        <is>
          <t>PetSmart</t>
        </is>
      </c>
      <c r="C252" s="2" t="n">
        <v>-47.76</v>
      </c>
      <c r="D252" t="inlineStr">
        <is>
          <t>Pets</t>
        </is>
      </c>
      <c r="E252" t="inlineStr">
        <is>
          <t>Expense</t>
        </is>
      </c>
      <c r="F252" t="inlineStr">
        <is>
          <t>2025-05</t>
        </is>
      </c>
    </row>
    <row r="253">
      <c r="A253" t="inlineStr">
        <is>
          <t>2025-05-13</t>
        </is>
      </c>
      <c r="B253" t="inlineStr">
        <is>
          <t>Amazon.com</t>
        </is>
      </c>
      <c r="C253" s="2" t="n">
        <v>-106.69</v>
      </c>
      <c r="D253" t="inlineStr">
        <is>
          <t>Shopping</t>
        </is>
      </c>
      <c r="E253" t="inlineStr">
        <is>
          <t>Expense</t>
        </is>
      </c>
      <c r="F253" t="inlineStr">
        <is>
          <t>2025-05</t>
        </is>
      </c>
    </row>
    <row r="254">
      <c r="A254" t="inlineStr">
        <is>
          <t>2025-05-14</t>
        </is>
      </c>
      <c r="B254" t="inlineStr">
        <is>
          <t>Verizon Wireless</t>
        </is>
      </c>
      <c r="C254" s="2" t="n">
        <v>-78.7</v>
      </c>
      <c r="D254" t="inlineStr">
        <is>
          <t>Utilities</t>
        </is>
      </c>
      <c r="E254" t="inlineStr">
        <is>
          <t>Expense</t>
        </is>
      </c>
      <c r="F254" t="inlineStr">
        <is>
          <t>2025-05</t>
        </is>
      </c>
    </row>
    <row r="255">
      <c r="A255" t="inlineStr">
        <is>
          <t>2025-05-14</t>
        </is>
      </c>
      <c r="B255" t="inlineStr">
        <is>
          <t>PetSmart</t>
        </is>
      </c>
      <c r="C255" s="2" t="n">
        <v>-42.41</v>
      </c>
      <c r="D255" t="inlineStr">
        <is>
          <t>Pets</t>
        </is>
      </c>
      <c r="E255" t="inlineStr">
        <is>
          <t>Expense</t>
        </is>
      </c>
      <c r="F255" t="inlineStr">
        <is>
          <t>2025-05</t>
        </is>
      </c>
    </row>
    <row r="256">
      <c r="A256" t="inlineStr">
        <is>
          <t>2025-05-14</t>
        </is>
      </c>
      <c r="B256" t="inlineStr">
        <is>
          <t>Safeway</t>
        </is>
      </c>
      <c r="C256" s="2" t="n">
        <v>-37.44</v>
      </c>
      <c r="D256" t="inlineStr">
        <is>
          <t>Groceries</t>
        </is>
      </c>
      <c r="E256" t="inlineStr">
        <is>
          <t>Expense</t>
        </is>
      </c>
      <c r="F256" t="inlineStr">
        <is>
          <t>2025-05</t>
        </is>
      </c>
    </row>
    <row r="257">
      <c r="A257" t="inlineStr">
        <is>
          <t>2025-05-15</t>
        </is>
      </c>
      <c r="B257" t="inlineStr">
        <is>
          <t>Amazon.com</t>
        </is>
      </c>
      <c r="C257" s="2" t="n">
        <v>-52.87</v>
      </c>
      <c r="D257" t="inlineStr">
        <is>
          <t>Shopping</t>
        </is>
      </c>
      <c r="E257" t="inlineStr">
        <is>
          <t>Expense</t>
        </is>
      </c>
      <c r="F257" t="inlineStr">
        <is>
          <t>2025-05</t>
        </is>
      </c>
    </row>
    <row r="258">
      <c r="A258" t="inlineStr">
        <is>
          <t>2025-05-16</t>
        </is>
      </c>
      <c r="B258" t="inlineStr">
        <is>
          <t>Venmo Payment</t>
        </is>
      </c>
      <c r="C258" s="2" t="n">
        <v>-50.98</v>
      </c>
      <c r="D258" t="inlineStr">
        <is>
          <t>Cash &amp; Misc</t>
        </is>
      </c>
      <c r="E258" t="inlineStr">
        <is>
          <t>Expense</t>
        </is>
      </c>
      <c r="F258" t="inlineStr">
        <is>
          <t>2025-05</t>
        </is>
      </c>
    </row>
    <row r="259">
      <c r="A259" t="inlineStr">
        <is>
          <t>2025-05-16</t>
        </is>
      </c>
      <c r="B259" t="inlineStr">
        <is>
          <t>AMC Theatres</t>
        </is>
      </c>
      <c r="C259" s="2" t="n">
        <v>-20.81</v>
      </c>
      <c r="D259" t="inlineStr">
        <is>
          <t>Entertainment</t>
        </is>
      </c>
      <c r="E259" t="inlineStr">
        <is>
          <t>Expense</t>
        </is>
      </c>
      <c r="F259" t="inlineStr">
        <is>
          <t>2025-05</t>
        </is>
      </c>
    </row>
    <row r="260">
      <c r="A260" t="inlineStr">
        <is>
          <t>2025-05-17</t>
        </is>
      </c>
      <c r="B260" t="inlineStr">
        <is>
          <t>Kaiser Permanente Copay</t>
        </is>
      </c>
      <c r="C260" s="2" t="n">
        <v>-27.04</v>
      </c>
      <c r="D260" t="inlineStr">
        <is>
          <t>Health &amp; Fitness</t>
        </is>
      </c>
      <c r="E260" t="inlineStr">
        <is>
          <t>Expense</t>
        </is>
      </c>
      <c r="F260" t="inlineStr">
        <is>
          <t>2025-05</t>
        </is>
      </c>
    </row>
    <row r="261">
      <c r="A261" t="inlineStr">
        <is>
          <t>2025-05-17</t>
        </is>
      </c>
      <c r="B261" t="inlineStr">
        <is>
          <t>ATM Withdrawal</t>
        </is>
      </c>
      <c r="C261" s="2" t="n">
        <v>-56.25</v>
      </c>
      <c r="D261" t="inlineStr">
        <is>
          <t>Cash &amp; Misc</t>
        </is>
      </c>
      <c r="E261" t="inlineStr">
        <is>
          <t>Expense</t>
        </is>
      </c>
      <c r="F261" t="inlineStr">
        <is>
          <t>2025-05</t>
        </is>
      </c>
    </row>
    <row r="262">
      <c r="A262" t="inlineStr">
        <is>
          <t>2025-05-18</t>
        </is>
      </c>
      <c r="B262" t="inlineStr">
        <is>
          <t>Amazon Prime</t>
        </is>
      </c>
      <c r="C262" s="2" t="n">
        <v>-14.99</v>
      </c>
      <c r="D262" t="inlineStr">
        <is>
          <t>Subscriptions</t>
        </is>
      </c>
      <c r="E262" t="inlineStr">
        <is>
          <t>Expense</t>
        </is>
      </c>
      <c r="F262" t="inlineStr">
        <is>
          <t>2025-05</t>
        </is>
      </c>
    </row>
    <row r="263">
      <c r="A263" t="inlineStr">
        <is>
          <t>2025-05-18</t>
        </is>
      </c>
      <c r="B263" t="inlineStr">
        <is>
          <t>Freelance Client Payment</t>
        </is>
      </c>
      <c r="C263" s="2" t="n">
        <v>268.23</v>
      </c>
      <c r="D263" t="inlineStr">
        <is>
          <t>Income</t>
        </is>
      </c>
      <c r="E263" t="inlineStr">
        <is>
          <t>Income</t>
        </is>
      </c>
      <c r="F263" t="inlineStr">
        <is>
          <t>2025-05</t>
        </is>
      </c>
    </row>
    <row r="264">
      <c r="A264" t="inlineStr">
        <is>
          <t>2025-05-18</t>
        </is>
      </c>
      <c r="B264" t="inlineStr">
        <is>
          <t>The Cheesecake Factory</t>
        </is>
      </c>
      <c r="C264" s="2" t="n">
        <v>-63.85</v>
      </c>
      <c r="D264" t="inlineStr">
        <is>
          <t>Dining Out</t>
        </is>
      </c>
      <c r="E264" t="inlineStr">
        <is>
          <t>Expense</t>
        </is>
      </c>
      <c r="F264" t="inlineStr">
        <is>
          <t>2025-05</t>
        </is>
      </c>
    </row>
    <row r="265">
      <c r="A265" t="inlineStr">
        <is>
          <t>2025-05-19</t>
        </is>
      </c>
      <c r="B265" t="inlineStr">
        <is>
          <t>Uber</t>
        </is>
      </c>
      <c r="C265" s="2" t="n">
        <v>-16.41</v>
      </c>
      <c r="D265" t="inlineStr">
        <is>
          <t>Transportation</t>
        </is>
      </c>
      <c r="E265" t="inlineStr">
        <is>
          <t>Expense</t>
        </is>
      </c>
      <c r="F265" t="inlineStr">
        <is>
          <t>2025-05</t>
        </is>
      </c>
    </row>
    <row r="266">
      <c r="A266" t="inlineStr">
        <is>
          <t>2025-05-20</t>
        </is>
      </c>
      <c r="B266" t="inlineStr">
        <is>
          <t>H&amp;M</t>
        </is>
      </c>
      <c r="C266" s="2" t="n">
        <v>-72.09999999999999</v>
      </c>
      <c r="D266" t="inlineStr">
        <is>
          <t>Shopping</t>
        </is>
      </c>
      <c r="E266" t="inlineStr">
        <is>
          <t>Expense</t>
        </is>
      </c>
      <c r="F266" t="inlineStr">
        <is>
          <t>2025-05</t>
        </is>
      </c>
    </row>
    <row r="267">
      <c r="A267" t="inlineStr">
        <is>
          <t>2025-05-20</t>
        </is>
      </c>
      <c r="B267" t="inlineStr">
        <is>
          <t>REI</t>
        </is>
      </c>
      <c r="C267" s="2" t="n">
        <v>-177.27</v>
      </c>
      <c r="D267" t="inlineStr">
        <is>
          <t>Shopping</t>
        </is>
      </c>
      <c r="E267" t="inlineStr">
        <is>
          <t>Expense</t>
        </is>
      </c>
      <c r="F267" t="inlineStr">
        <is>
          <t>2025-05</t>
        </is>
      </c>
    </row>
    <row r="268">
      <c r="A268" t="inlineStr">
        <is>
          <t>2025-05-21</t>
        </is>
      </c>
      <c r="B268" t="inlineStr">
        <is>
          <t>Employer Payroll Direct Dep</t>
        </is>
      </c>
      <c r="C268" s="2" t="n">
        <v>2650</v>
      </c>
      <c r="D268" t="inlineStr">
        <is>
          <t>Income</t>
        </is>
      </c>
      <c r="E268" t="inlineStr">
        <is>
          <t>Income</t>
        </is>
      </c>
      <c r="F268" t="inlineStr">
        <is>
          <t>2025-05</t>
        </is>
      </c>
    </row>
    <row r="269">
      <c r="A269" t="inlineStr">
        <is>
          <t>2025-05-21</t>
        </is>
      </c>
      <c r="B269" t="inlineStr">
        <is>
          <t>REI</t>
        </is>
      </c>
      <c r="C269" s="2" t="n">
        <v>-71.84999999999999</v>
      </c>
      <c r="D269" t="inlineStr">
        <is>
          <t>Shopping</t>
        </is>
      </c>
      <c r="E269" t="inlineStr">
        <is>
          <t>Expense</t>
        </is>
      </c>
      <c r="F269" t="inlineStr">
        <is>
          <t>2025-05</t>
        </is>
      </c>
    </row>
    <row r="270">
      <c r="A270" t="inlineStr">
        <is>
          <t>2025-05-21</t>
        </is>
      </c>
      <c r="B270" t="inlineStr">
        <is>
          <t>Uber</t>
        </is>
      </c>
      <c r="C270" s="2" t="n">
        <v>-18.95</v>
      </c>
      <c r="D270" t="inlineStr">
        <is>
          <t>Transportation</t>
        </is>
      </c>
      <c r="E270" t="inlineStr">
        <is>
          <t>Expense</t>
        </is>
      </c>
      <c r="F270" t="inlineStr">
        <is>
          <t>2025-05</t>
        </is>
      </c>
    </row>
    <row r="271">
      <c r="A271" t="inlineStr">
        <is>
          <t>2025-05-22</t>
        </is>
      </c>
      <c r="B271" t="inlineStr">
        <is>
          <t>NYTimes Subscription</t>
        </is>
      </c>
      <c r="C271" s="2" t="n">
        <v>-17</v>
      </c>
      <c r="D271" t="inlineStr">
        <is>
          <t>Subscriptions</t>
        </is>
      </c>
      <c r="E271" t="inlineStr">
        <is>
          <t>Expense</t>
        </is>
      </c>
      <c r="F271" t="inlineStr">
        <is>
          <t>2025-05</t>
        </is>
      </c>
    </row>
    <row r="272">
      <c r="A272" t="inlineStr">
        <is>
          <t>2025-05-22</t>
        </is>
      </c>
      <c r="B272" t="inlineStr">
        <is>
          <t>Local Pizza Co</t>
        </is>
      </c>
      <c r="C272" s="2" t="n">
        <v>-21.84</v>
      </c>
      <c r="D272" t="inlineStr">
        <is>
          <t>Dining Out</t>
        </is>
      </c>
      <c r="E272" t="inlineStr">
        <is>
          <t>Expense</t>
        </is>
      </c>
      <c r="F272" t="inlineStr">
        <is>
          <t>2025-05</t>
        </is>
      </c>
    </row>
    <row r="273">
      <c r="A273" t="inlineStr">
        <is>
          <t>2025-05-22</t>
        </is>
      </c>
      <c r="B273" t="inlineStr">
        <is>
          <t>Chipotle</t>
        </is>
      </c>
      <c r="C273" s="2" t="n">
        <v>-12.32</v>
      </c>
      <c r="D273" t="inlineStr">
        <is>
          <t>Dining Out</t>
        </is>
      </c>
      <c r="E273" t="inlineStr">
        <is>
          <t>Expense</t>
        </is>
      </c>
      <c r="F273" t="inlineStr">
        <is>
          <t>2025-05</t>
        </is>
      </c>
    </row>
    <row r="274">
      <c r="A274" t="inlineStr">
        <is>
          <t>2025-05-23</t>
        </is>
      </c>
      <c r="B274" t="inlineStr">
        <is>
          <t>Local Pizza Co</t>
        </is>
      </c>
      <c r="C274" s="2" t="n">
        <v>-26.93</v>
      </c>
      <c r="D274" t="inlineStr">
        <is>
          <t>Dining Out</t>
        </is>
      </c>
      <c r="E274" t="inlineStr">
        <is>
          <t>Expense</t>
        </is>
      </c>
      <c r="F274" t="inlineStr">
        <is>
          <t>2025-05</t>
        </is>
      </c>
    </row>
    <row r="275">
      <c r="A275" t="inlineStr">
        <is>
          <t>2025-05-23</t>
        </is>
      </c>
      <c r="B275" t="inlineStr">
        <is>
          <t>PetSmart</t>
        </is>
      </c>
      <c r="C275" s="2" t="n">
        <v>-25.13</v>
      </c>
      <c r="D275" t="inlineStr">
        <is>
          <t>Pets</t>
        </is>
      </c>
      <c r="E275" t="inlineStr">
        <is>
          <t>Expense</t>
        </is>
      </c>
      <c r="F275" t="inlineStr">
        <is>
          <t>2025-05</t>
        </is>
      </c>
    </row>
    <row r="276">
      <c r="A276" t="inlineStr">
        <is>
          <t>2025-05-25</t>
        </is>
      </c>
      <c r="B276" t="inlineStr">
        <is>
          <t>Student Loan Servicer</t>
        </is>
      </c>
      <c r="C276" s="2" t="n">
        <v>-220</v>
      </c>
      <c r="D276" t="inlineStr">
        <is>
          <t>Debt Payments</t>
        </is>
      </c>
      <c r="E276" t="inlineStr">
        <is>
          <t>Expense</t>
        </is>
      </c>
      <c r="F276" t="inlineStr">
        <is>
          <t>2025-05</t>
        </is>
      </c>
    </row>
    <row r="277">
      <c r="A277" t="inlineStr">
        <is>
          <t>2025-05-25</t>
        </is>
      </c>
      <c r="B277" t="inlineStr">
        <is>
          <t>Venmo Payment</t>
        </is>
      </c>
      <c r="C277" s="2" t="n">
        <v>-43.63</v>
      </c>
      <c r="D277" t="inlineStr">
        <is>
          <t>Cash &amp; Misc</t>
        </is>
      </c>
      <c r="E277" t="inlineStr">
        <is>
          <t>Expense</t>
        </is>
      </c>
      <c r="F277" t="inlineStr">
        <is>
          <t>2025-05</t>
        </is>
      </c>
    </row>
    <row r="278">
      <c r="A278" t="inlineStr">
        <is>
          <t>2025-05-26</t>
        </is>
      </c>
      <c r="B278" t="inlineStr">
        <is>
          <t>Chipotle</t>
        </is>
      </c>
      <c r="C278" s="2" t="n">
        <v>-10.51</v>
      </c>
      <c r="D278" t="inlineStr">
        <is>
          <t>Dining Out</t>
        </is>
      </c>
      <c r="E278" t="inlineStr">
        <is>
          <t>Expense</t>
        </is>
      </c>
      <c r="F278" t="inlineStr">
        <is>
          <t>2025-05</t>
        </is>
      </c>
    </row>
    <row r="279">
      <c r="A279" t="inlineStr">
        <is>
          <t>2025-05-27</t>
        </is>
      </c>
      <c r="B279" t="inlineStr">
        <is>
          <t>The Cheesecake Factory</t>
        </is>
      </c>
      <c r="C279" s="2" t="n">
        <v>-67.88</v>
      </c>
      <c r="D279" t="inlineStr">
        <is>
          <t>Dining Out</t>
        </is>
      </c>
      <c r="E279" t="inlineStr">
        <is>
          <t>Expense</t>
        </is>
      </c>
      <c r="F279" t="inlineStr">
        <is>
          <t>2025-05</t>
        </is>
      </c>
    </row>
    <row r="280">
      <c r="A280" t="inlineStr">
        <is>
          <t>2025-05-27</t>
        </is>
      </c>
      <c r="B280" t="inlineStr">
        <is>
          <t>Local Bar &amp; Grill</t>
        </is>
      </c>
      <c r="C280" s="2" t="n">
        <v>-37.21</v>
      </c>
      <c r="D280" t="inlineStr">
        <is>
          <t>Entertainment</t>
        </is>
      </c>
      <c r="E280" t="inlineStr">
        <is>
          <t>Expense</t>
        </is>
      </c>
      <c r="F280" t="inlineStr">
        <is>
          <t>2025-05</t>
        </is>
      </c>
    </row>
    <row r="281">
      <c r="A281" t="inlineStr">
        <is>
          <t>2025-05-27</t>
        </is>
      </c>
      <c r="B281" t="inlineStr">
        <is>
          <t>Chipotle</t>
        </is>
      </c>
      <c r="C281" s="2" t="n">
        <v>-9.91</v>
      </c>
      <c r="D281" t="inlineStr">
        <is>
          <t>Dining Out</t>
        </is>
      </c>
      <c r="E281" t="inlineStr">
        <is>
          <t>Expense</t>
        </is>
      </c>
      <c r="F281" t="inlineStr">
        <is>
          <t>2025-05</t>
        </is>
      </c>
    </row>
    <row r="282">
      <c r="A282" t="inlineStr">
        <is>
          <t>2025-05-28</t>
        </is>
      </c>
      <c r="B282" t="inlineStr">
        <is>
          <t>CVS Pharmacy</t>
        </is>
      </c>
      <c r="C282" s="2" t="n">
        <v>-11.15</v>
      </c>
      <c r="D282" t="inlineStr">
        <is>
          <t>Health &amp; Fitness</t>
        </is>
      </c>
      <c r="E282" t="inlineStr">
        <is>
          <t>Expense</t>
        </is>
      </c>
      <c r="F282" t="inlineStr">
        <is>
          <t>2025-05</t>
        </is>
      </c>
    </row>
    <row r="283">
      <c r="A283" t="inlineStr">
        <is>
          <t>2025-05-28</t>
        </is>
      </c>
      <c r="B283" t="inlineStr">
        <is>
          <t>Amazon.com</t>
        </is>
      </c>
      <c r="C283" s="2" t="n">
        <v>-26.58</v>
      </c>
      <c r="D283" t="inlineStr">
        <is>
          <t>Shopping</t>
        </is>
      </c>
      <c r="E283" t="inlineStr">
        <is>
          <t>Expense</t>
        </is>
      </c>
      <c r="F283" t="inlineStr">
        <is>
          <t>2025-05</t>
        </is>
      </c>
    </row>
    <row r="284">
      <c r="A284" t="inlineStr">
        <is>
          <t>2025-05-29</t>
        </is>
      </c>
      <c r="B284" t="inlineStr">
        <is>
          <t>Target</t>
        </is>
      </c>
      <c r="C284" s="2" t="n">
        <v>-97.56999999999999</v>
      </c>
      <c r="D284" t="inlineStr">
        <is>
          <t>Shopping</t>
        </is>
      </c>
      <c r="E284" t="inlineStr">
        <is>
          <t>Expense</t>
        </is>
      </c>
      <c r="F284" t="inlineStr">
        <is>
          <t>2025-05</t>
        </is>
      </c>
    </row>
    <row r="285">
      <c r="A285" t="inlineStr">
        <is>
          <t>2025-05-29</t>
        </is>
      </c>
      <c r="B285" t="inlineStr">
        <is>
          <t>Ticketmaster</t>
        </is>
      </c>
      <c r="C285" s="2" t="n">
        <v>-89.56</v>
      </c>
      <c r="D285" t="inlineStr">
        <is>
          <t>Entertainment</t>
        </is>
      </c>
      <c r="E285" t="inlineStr">
        <is>
          <t>Expense</t>
        </is>
      </c>
      <c r="F285" t="inlineStr">
        <is>
          <t>2025-05</t>
        </is>
      </c>
    </row>
    <row r="286">
      <c r="A286" t="inlineStr">
        <is>
          <t>2025-05-30</t>
        </is>
      </c>
      <c r="B286" t="inlineStr">
        <is>
          <t>Freelance Client Payment</t>
        </is>
      </c>
      <c r="C286" s="2" t="n">
        <v>342.8</v>
      </c>
      <c r="D286" t="inlineStr">
        <is>
          <t>Income</t>
        </is>
      </c>
      <c r="E286" t="inlineStr">
        <is>
          <t>Income</t>
        </is>
      </c>
      <c r="F286" t="inlineStr">
        <is>
          <t>2025-05</t>
        </is>
      </c>
    </row>
    <row r="287">
      <c r="A287" t="inlineStr">
        <is>
          <t>2025-05-30</t>
        </is>
      </c>
      <c r="B287" t="inlineStr">
        <is>
          <t>Freelance Client Payment</t>
        </is>
      </c>
      <c r="C287" s="2" t="n">
        <v>329.73</v>
      </c>
      <c r="D287" t="inlineStr">
        <is>
          <t>Income</t>
        </is>
      </c>
      <c r="E287" t="inlineStr">
        <is>
          <t>Income</t>
        </is>
      </c>
      <c r="F287" t="inlineStr">
        <is>
          <t>2025-05</t>
        </is>
      </c>
    </row>
    <row r="288">
      <c r="A288" t="inlineStr">
        <is>
          <t>2025-05-30</t>
        </is>
      </c>
      <c r="B288" t="inlineStr">
        <is>
          <t>Airbnb</t>
        </is>
      </c>
      <c r="C288" s="2" t="n">
        <v>-190.24</v>
      </c>
      <c r="D288" t="inlineStr">
        <is>
          <t>Travel</t>
        </is>
      </c>
      <c r="E288" t="inlineStr">
        <is>
          <t>Expense</t>
        </is>
      </c>
      <c r="F288" t="inlineStr">
        <is>
          <t>2025-05</t>
        </is>
      </c>
    </row>
    <row r="289">
      <c r="A289" t="inlineStr">
        <is>
          <t>2025-05-31</t>
        </is>
      </c>
      <c r="B289" t="inlineStr">
        <is>
          <t>DoorDash</t>
        </is>
      </c>
      <c r="C289" s="2" t="n">
        <v>-43.58</v>
      </c>
      <c r="D289" t="inlineStr">
        <is>
          <t>Dining Out</t>
        </is>
      </c>
      <c r="E289" t="inlineStr">
        <is>
          <t>Expense</t>
        </is>
      </c>
      <c r="F289" t="inlineStr">
        <is>
          <t>2025-05</t>
        </is>
      </c>
    </row>
    <row r="290">
      <c r="A290" t="inlineStr">
        <is>
          <t>2025-05-31</t>
        </is>
      </c>
      <c r="B290" t="inlineStr">
        <is>
          <t>Bay Area Rapid Transit</t>
        </is>
      </c>
      <c r="C290" s="2" t="n">
        <v>-11.26</v>
      </c>
      <c r="D290" t="inlineStr">
        <is>
          <t>Transportation</t>
        </is>
      </c>
      <c r="E290" t="inlineStr">
        <is>
          <t>Expense</t>
        </is>
      </c>
      <c r="F290" t="inlineStr">
        <is>
          <t>2025-05</t>
        </is>
      </c>
    </row>
    <row r="291">
      <c r="A291" t="inlineStr">
        <is>
          <t>2025-06-01</t>
        </is>
      </c>
      <c r="B291" t="inlineStr">
        <is>
          <t>Rent Payment - Sunrise Apartments</t>
        </is>
      </c>
      <c r="C291" s="2" t="n">
        <v>-1450</v>
      </c>
      <c r="D291" t="inlineStr">
        <is>
          <t>Housing</t>
        </is>
      </c>
      <c r="E291" t="inlineStr">
        <is>
          <t>Expense</t>
        </is>
      </c>
      <c r="F291" t="inlineStr">
        <is>
          <t>2025-06</t>
        </is>
      </c>
    </row>
    <row r="292">
      <c r="A292" t="inlineStr">
        <is>
          <t>2025-06-01</t>
        </is>
      </c>
      <c r="B292" t="inlineStr">
        <is>
          <t>Sushi Kama</t>
        </is>
      </c>
      <c r="C292" s="2" t="n">
        <v>-30.5</v>
      </c>
      <c r="D292" t="inlineStr">
        <is>
          <t>Dining Out</t>
        </is>
      </c>
      <c r="E292" t="inlineStr">
        <is>
          <t>Expense</t>
        </is>
      </c>
      <c r="F292" t="inlineStr">
        <is>
          <t>2025-06</t>
        </is>
      </c>
    </row>
    <row r="293">
      <c r="A293" t="inlineStr">
        <is>
          <t>2025-06-02</t>
        </is>
      </c>
      <c r="B293" t="inlineStr">
        <is>
          <t>Starbucks</t>
        </is>
      </c>
      <c r="C293" s="2" t="n">
        <v>-5.63</v>
      </c>
      <c r="D293" t="inlineStr">
        <is>
          <t>Dining Out</t>
        </is>
      </c>
      <c r="E293" t="inlineStr">
        <is>
          <t>Expense</t>
        </is>
      </c>
      <c r="F293" t="inlineStr">
        <is>
          <t>2025-06</t>
        </is>
      </c>
    </row>
    <row r="294">
      <c r="A294" t="inlineStr">
        <is>
          <t>2025-06-03</t>
        </is>
      </c>
      <c r="B294" t="inlineStr">
        <is>
          <t>Geico Insurance</t>
        </is>
      </c>
      <c r="C294" s="2" t="n">
        <v>-136.71</v>
      </c>
      <c r="D294" t="inlineStr">
        <is>
          <t>Insurance</t>
        </is>
      </c>
      <c r="E294" t="inlineStr">
        <is>
          <t>Expense</t>
        </is>
      </c>
      <c r="F294" t="inlineStr">
        <is>
          <t>2025-06</t>
        </is>
      </c>
    </row>
    <row r="295">
      <c r="A295" t="inlineStr">
        <is>
          <t>2025-06-03</t>
        </is>
      </c>
      <c r="B295" t="inlineStr">
        <is>
          <t>Venmo Payment</t>
        </is>
      </c>
      <c r="C295" s="2" t="n">
        <v>-33.93</v>
      </c>
      <c r="D295" t="inlineStr">
        <is>
          <t>Cash &amp; Misc</t>
        </is>
      </c>
      <c r="E295" t="inlineStr">
        <is>
          <t>Expense</t>
        </is>
      </c>
      <c r="F295" t="inlineStr">
        <is>
          <t>2025-06</t>
        </is>
      </c>
    </row>
    <row r="296">
      <c r="A296" t="inlineStr">
        <is>
          <t>2025-06-04</t>
        </is>
      </c>
      <c r="B296" t="inlineStr">
        <is>
          <t>Planet Fitness</t>
        </is>
      </c>
      <c r="C296" s="2" t="n">
        <v>-24.99</v>
      </c>
      <c r="D296" t="inlineStr">
        <is>
          <t>Health &amp; Fitness</t>
        </is>
      </c>
      <c r="E296" t="inlineStr">
        <is>
          <t>Expense</t>
        </is>
      </c>
      <c r="F296" t="inlineStr">
        <is>
          <t>2025-06</t>
        </is>
      </c>
    </row>
    <row r="297">
      <c r="A297" t="inlineStr">
        <is>
          <t>2025-06-04</t>
        </is>
      </c>
      <c r="B297" t="inlineStr">
        <is>
          <t>Employer Payroll Direct Dep</t>
        </is>
      </c>
      <c r="C297" s="2" t="n">
        <v>2650</v>
      </c>
      <c r="D297" t="inlineStr">
        <is>
          <t>Income</t>
        </is>
      </c>
      <c r="E297" t="inlineStr">
        <is>
          <t>Income</t>
        </is>
      </c>
      <c r="F297" t="inlineStr">
        <is>
          <t>2025-06</t>
        </is>
      </c>
    </row>
    <row r="298">
      <c r="A298" t="inlineStr">
        <is>
          <t>2025-06-04</t>
        </is>
      </c>
      <c r="B298" t="inlineStr">
        <is>
          <t>REI</t>
        </is>
      </c>
      <c r="C298" s="2" t="n">
        <v>-138.42</v>
      </c>
      <c r="D298" t="inlineStr">
        <is>
          <t>Shopping</t>
        </is>
      </c>
      <c r="E298" t="inlineStr">
        <is>
          <t>Expense</t>
        </is>
      </c>
      <c r="F298" t="inlineStr">
        <is>
          <t>2025-06</t>
        </is>
      </c>
    </row>
    <row r="299">
      <c r="A299" t="inlineStr">
        <is>
          <t>2025-06-05</t>
        </is>
      </c>
      <c r="B299" t="inlineStr">
        <is>
          <t>Netflix.com</t>
        </is>
      </c>
      <c r="C299" s="2" t="n">
        <v>-15.49</v>
      </c>
      <c r="D299" t="inlineStr">
        <is>
          <t>Subscriptions</t>
        </is>
      </c>
      <c r="E299" t="inlineStr">
        <is>
          <t>Expense</t>
        </is>
      </c>
      <c r="F299" t="inlineStr">
        <is>
          <t>2025-06</t>
        </is>
      </c>
    </row>
    <row r="300">
      <c r="A300" t="inlineStr">
        <is>
          <t>2025-06-05</t>
        </is>
      </c>
      <c r="B300" t="inlineStr">
        <is>
          <t>Target</t>
        </is>
      </c>
      <c r="C300" s="2" t="n">
        <v>-112.39</v>
      </c>
      <c r="D300" t="inlineStr">
        <is>
          <t>Shopping</t>
        </is>
      </c>
      <c r="E300" t="inlineStr">
        <is>
          <t>Expense</t>
        </is>
      </c>
      <c r="F300" t="inlineStr">
        <is>
          <t>2025-06</t>
        </is>
      </c>
    </row>
    <row r="301">
      <c r="A301" t="inlineStr">
        <is>
          <t>2025-06-06</t>
        </is>
      </c>
      <c r="B301" t="inlineStr">
        <is>
          <t>Lyft</t>
        </is>
      </c>
      <c r="C301" s="2" t="n">
        <v>-18.5</v>
      </c>
      <c r="D301" t="inlineStr">
        <is>
          <t>Transportation</t>
        </is>
      </c>
      <c r="E301" t="inlineStr">
        <is>
          <t>Expense</t>
        </is>
      </c>
      <c r="F301" t="inlineStr">
        <is>
          <t>2025-06</t>
        </is>
      </c>
    </row>
    <row r="302">
      <c r="A302" t="inlineStr">
        <is>
          <t>2025-06-06</t>
        </is>
      </c>
      <c r="B302" t="inlineStr">
        <is>
          <t>Target</t>
        </is>
      </c>
      <c r="C302" s="2" t="n">
        <v>-84.76000000000001</v>
      </c>
      <c r="D302" t="inlineStr">
        <is>
          <t>Shopping</t>
        </is>
      </c>
      <c r="E302" t="inlineStr">
        <is>
          <t>Expense</t>
        </is>
      </c>
      <c r="F302" t="inlineStr">
        <is>
          <t>2025-06</t>
        </is>
      </c>
    </row>
    <row r="303">
      <c r="A303" t="inlineStr">
        <is>
          <t>2025-06-07</t>
        </is>
      </c>
      <c r="B303" t="inlineStr">
        <is>
          <t>Spotify USA</t>
        </is>
      </c>
      <c r="C303" s="2" t="n">
        <v>-11.99</v>
      </c>
      <c r="D303" t="inlineStr">
        <is>
          <t>Subscriptions</t>
        </is>
      </c>
      <c r="E303" t="inlineStr">
        <is>
          <t>Expense</t>
        </is>
      </c>
      <c r="F303" t="inlineStr">
        <is>
          <t>2025-06</t>
        </is>
      </c>
    </row>
    <row r="304">
      <c r="A304" t="inlineStr">
        <is>
          <t>2025-06-07</t>
        </is>
      </c>
      <c r="B304" t="inlineStr">
        <is>
          <t>Shell Gas Station</t>
        </is>
      </c>
      <c r="C304" s="2" t="n">
        <v>-36.79</v>
      </c>
      <c r="D304" t="inlineStr">
        <is>
          <t>Transportation</t>
        </is>
      </c>
      <c r="E304" t="inlineStr">
        <is>
          <t>Expense</t>
        </is>
      </c>
      <c r="F304" t="inlineStr">
        <is>
          <t>2025-06</t>
        </is>
      </c>
    </row>
    <row r="305">
      <c r="A305" t="inlineStr">
        <is>
          <t>2025-06-07</t>
        </is>
      </c>
      <c r="B305" t="inlineStr">
        <is>
          <t>Chevron</t>
        </is>
      </c>
      <c r="C305" s="2" t="n">
        <v>-54.82</v>
      </c>
      <c r="D305" t="inlineStr">
        <is>
          <t>Transportation</t>
        </is>
      </c>
      <c r="E305" t="inlineStr">
        <is>
          <t>Expense</t>
        </is>
      </c>
      <c r="F305" t="inlineStr">
        <is>
          <t>2025-06</t>
        </is>
      </c>
    </row>
    <row r="306">
      <c r="A306" t="inlineStr">
        <is>
          <t>2025-06-07</t>
        </is>
      </c>
      <c r="B306" t="inlineStr">
        <is>
          <t>REI</t>
        </is>
      </c>
      <c r="C306" s="2" t="n">
        <v>-101.48</v>
      </c>
      <c r="D306" t="inlineStr">
        <is>
          <t>Shopping</t>
        </is>
      </c>
      <c r="E306" t="inlineStr">
        <is>
          <t>Expense</t>
        </is>
      </c>
      <c r="F306" t="inlineStr">
        <is>
          <t>2025-06</t>
        </is>
      </c>
    </row>
    <row r="307">
      <c r="A307" t="inlineStr">
        <is>
          <t>2025-06-08</t>
        </is>
      </c>
      <c r="B307" t="inlineStr">
        <is>
          <t>CVS Pharmacy</t>
        </is>
      </c>
      <c r="C307" s="2" t="n">
        <v>-33.89</v>
      </c>
      <c r="D307" t="inlineStr">
        <is>
          <t>Health &amp; Fitness</t>
        </is>
      </c>
      <c r="E307" t="inlineStr">
        <is>
          <t>Expense</t>
        </is>
      </c>
      <c r="F307" t="inlineStr">
        <is>
          <t>2025-06</t>
        </is>
      </c>
    </row>
    <row r="308">
      <c r="A308" t="inlineStr">
        <is>
          <t>2025-06-09</t>
        </is>
      </c>
      <c r="B308" t="inlineStr">
        <is>
          <t>Chase Credit Card Payment</t>
        </is>
      </c>
      <c r="C308" s="2" t="n">
        <v>-361.99</v>
      </c>
      <c r="D308" t="inlineStr">
        <is>
          <t>Debt Payments</t>
        </is>
      </c>
      <c r="E308" t="inlineStr">
        <is>
          <t>Expense</t>
        </is>
      </c>
      <c r="F308" t="inlineStr">
        <is>
          <t>2025-06</t>
        </is>
      </c>
    </row>
    <row r="309">
      <c r="A309" t="inlineStr">
        <is>
          <t>2025-06-09</t>
        </is>
      </c>
      <c r="B309" t="inlineStr">
        <is>
          <t>Marriott Hotels</t>
        </is>
      </c>
      <c r="C309" s="2" t="n">
        <v>-151.26</v>
      </c>
      <c r="D309" t="inlineStr">
        <is>
          <t>Travel</t>
        </is>
      </c>
      <c r="E309" t="inlineStr">
        <is>
          <t>Expense</t>
        </is>
      </c>
      <c r="F309" t="inlineStr">
        <is>
          <t>2025-06</t>
        </is>
      </c>
    </row>
    <row r="310">
      <c r="A310" t="inlineStr">
        <is>
          <t>2025-06-09</t>
        </is>
      </c>
      <c r="B310" t="inlineStr">
        <is>
          <t>Whole Foods Market</t>
        </is>
      </c>
      <c r="C310" s="2" t="n">
        <v>-77.81</v>
      </c>
      <c r="D310" t="inlineStr">
        <is>
          <t>Groceries</t>
        </is>
      </c>
      <c r="E310" t="inlineStr">
        <is>
          <t>Expense</t>
        </is>
      </c>
      <c r="F310" t="inlineStr">
        <is>
          <t>2025-06</t>
        </is>
      </c>
    </row>
    <row r="311">
      <c r="A311" t="inlineStr">
        <is>
          <t>2025-06-10</t>
        </is>
      </c>
      <c r="B311" t="inlineStr">
        <is>
          <t>Comcast Xfinity</t>
        </is>
      </c>
      <c r="C311" s="2" t="n">
        <v>-88.79000000000001</v>
      </c>
      <c r="D311" t="inlineStr">
        <is>
          <t>Utilities</t>
        </is>
      </c>
      <c r="E311" t="inlineStr">
        <is>
          <t>Expense</t>
        </is>
      </c>
      <c r="F311" t="inlineStr">
        <is>
          <t>2025-06</t>
        </is>
      </c>
    </row>
    <row r="312">
      <c r="A312" t="inlineStr">
        <is>
          <t>2025-06-10</t>
        </is>
      </c>
      <c r="B312" t="inlineStr">
        <is>
          <t>Best Buy</t>
        </is>
      </c>
      <c r="C312" s="2" t="n">
        <v>-36.98</v>
      </c>
      <c r="D312" t="inlineStr">
        <is>
          <t>Shopping</t>
        </is>
      </c>
      <c r="E312" t="inlineStr">
        <is>
          <t>Expense</t>
        </is>
      </c>
      <c r="F312" t="inlineStr">
        <is>
          <t>2025-06</t>
        </is>
      </c>
    </row>
    <row r="313">
      <c r="A313" t="inlineStr">
        <is>
          <t>2025-06-10</t>
        </is>
      </c>
      <c r="B313" t="inlineStr">
        <is>
          <t>Target</t>
        </is>
      </c>
      <c r="C313" s="2" t="n">
        <v>-116.19</v>
      </c>
      <c r="D313" t="inlineStr">
        <is>
          <t>Shopping</t>
        </is>
      </c>
      <c r="E313" t="inlineStr">
        <is>
          <t>Expense</t>
        </is>
      </c>
      <c r="F313" t="inlineStr">
        <is>
          <t>2025-06</t>
        </is>
      </c>
    </row>
    <row r="314">
      <c r="A314" t="inlineStr">
        <is>
          <t>2025-06-11</t>
        </is>
      </c>
      <c r="B314" t="inlineStr">
        <is>
          <t>Safeway</t>
        </is>
      </c>
      <c r="C314" s="2" t="n">
        <v>-109.97</v>
      </c>
      <c r="D314" t="inlineStr">
        <is>
          <t>Groceries</t>
        </is>
      </c>
      <c r="E314" t="inlineStr">
        <is>
          <t>Expense</t>
        </is>
      </c>
      <c r="F314" t="inlineStr">
        <is>
          <t>2025-06</t>
        </is>
      </c>
    </row>
    <row r="315">
      <c r="A315" t="inlineStr">
        <is>
          <t>2025-06-11</t>
        </is>
      </c>
      <c r="B315" t="inlineStr">
        <is>
          <t>H&amp;M</t>
        </is>
      </c>
      <c r="C315" s="2" t="n">
        <v>-62.46</v>
      </c>
      <c r="D315" t="inlineStr">
        <is>
          <t>Shopping</t>
        </is>
      </c>
      <c r="E315" t="inlineStr">
        <is>
          <t>Expense</t>
        </is>
      </c>
      <c r="F315" t="inlineStr">
        <is>
          <t>2025-06</t>
        </is>
      </c>
    </row>
    <row r="316">
      <c r="A316" t="inlineStr">
        <is>
          <t>2025-06-12</t>
        </is>
      </c>
      <c r="B316" t="inlineStr">
        <is>
          <t>PG&amp;E Electric</t>
        </is>
      </c>
      <c r="C316" s="2" t="n">
        <v>-129.27</v>
      </c>
      <c r="D316" t="inlineStr">
        <is>
          <t>Utilities</t>
        </is>
      </c>
      <c r="E316" t="inlineStr">
        <is>
          <t>Expense</t>
        </is>
      </c>
      <c r="F316" t="inlineStr">
        <is>
          <t>2025-06</t>
        </is>
      </c>
    </row>
    <row r="317">
      <c r="A317" t="inlineStr">
        <is>
          <t>2025-06-12</t>
        </is>
      </c>
      <c r="B317" t="inlineStr">
        <is>
          <t>Uber</t>
        </is>
      </c>
      <c r="C317" s="2" t="n">
        <v>-22.82</v>
      </c>
      <c r="D317" t="inlineStr">
        <is>
          <t>Transportation</t>
        </is>
      </c>
      <c r="E317" t="inlineStr">
        <is>
          <t>Expense</t>
        </is>
      </c>
      <c r="F317" t="inlineStr">
        <is>
          <t>2025-06</t>
        </is>
      </c>
    </row>
    <row r="318">
      <c r="A318" t="inlineStr">
        <is>
          <t>2025-06-12</t>
        </is>
      </c>
      <c r="B318" t="inlineStr">
        <is>
          <t>Marriott Hotels</t>
        </is>
      </c>
      <c r="C318" s="2" t="n">
        <v>-268.25</v>
      </c>
      <c r="D318" t="inlineStr">
        <is>
          <t>Travel</t>
        </is>
      </c>
      <c r="E318" t="inlineStr">
        <is>
          <t>Expense</t>
        </is>
      </c>
      <c r="F318" t="inlineStr">
        <is>
          <t>2025-06</t>
        </is>
      </c>
    </row>
    <row r="319">
      <c r="A319" t="inlineStr">
        <is>
          <t>2025-06-13</t>
        </is>
      </c>
      <c r="B319" t="inlineStr">
        <is>
          <t>Airbnb</t>
        </is>
      </c>
      <c r="C319" s="2" t="n">
        <v>-266</v>
      </c>
      <c r="D319" t="inlineStr">
        <is>
          <t>Travel</t>
        </is>
      </c>
      <c r="E319" t="inlineStr">
        <is>
          <t>Expense</t>
        </is>
      </c>
      <c r="F319" t="inlineStr">
        <is>
          <t>2025-06</t>
        </is>
      </c>
    </row>
    <row r="320">
      <c r="A320" t="inlineStr">
        <is>
          <t>2025-06-14</t>
        </is>
      </c>
      <c r="B320" t="inlineStr">
        <is>
          <t>Verizon Wireless</t>
        </is>
      </c>
      <c r="C320" s="2" t="n">
        <v>-81.40000000000001</v>
      </c>
      <c r="D320" t="inlineStr">
        <is>
          <t>Utilities</t>
        </is>
      </c>
      <c r="E320" t="inlineStr">
        <is>
          <t>Expense</t>
        </is>
      </c>
      <c r="F320" t="inlineStr">
        <is>
          <t>2025-06</t>
        </is>
      </c>
    </row>
    <row r="321">
      <c r="A321" t="inlineStr">
        <is>
          <t>2025-06-14</t>
        </is>
      </c>
      <c r="B321" t="inlineStr">
        <is>
          <t>Sushi Kama</t>
        </is>
      </c>
      <c r="C321" s="2" t="n">
        <v>-41.45</v>
      </c>
      <c r="D321" t="inlineStr">
        <is>
          <t>Dining Out</t>
        </is>
      </c>
      <c r="E321" t="inlineStr">
        <is>
          <t>Expense</t>
        </is>
      </c>
      <c r="F321" t="inlineStr">
        <is>
          <t>2025-06</t>
        </is>
      </c>
    </row>
    <row r="322">
      <c r="A322" t="inlineStr">
        <is>
          <t>2025-06-15</t>
        </is>
      </c>
      <c r="B322" t="inlineStr">
        <is>
          <t>Walgreens</t>
        </is>
      </c>
      <c r="C322" s="2" t="n">
        <v>-29.44</v>
      </c>
      <c r="D322" t="inlineStr">
        <is>
          <t>Health &amp; Fitness</t>
        </is>
      </c>
      <c r="E322" t="inlineStr">
        <is>
          <t>Expense</t>
        </is>
      </c>
      <c r="F322" t="inlineStr">
        <is>
          <t>2025-06</t>
        </is>
      </c>
    </row>
    <row r="323">
      <c r="A323" t="inlineStr">
        <is>
          <t>2025-06-16</t>
        </is>
      </c>
      <c r="B323" t="inlineStr">
        <is>
          <t>Kaiser Permanente Copay</t>
        </is>
      </c>
      <c r="C323" s="2" t="n">
        <v>-28.23</v>
      </c>
      <c r="D323" t="inlineStr">
        <is>
          <t>Health &amp; Fitness</t>
        </is>
      </c>
      <c r="E323" t="inlineStr">
        <is>
          <t>Expense</t>
        </is>
      </c>
      <c r="F323" t="inlineStr">
        <is>
          <t>2025-06</t>
        </is>
      </c>
    </row>
    <row r="324">
      <c r="A324" t="inlineStr">
        <is>
          <t>2025-06-16</t>
        </is>
      </c>
      <c r="B324" t="inlineStr">
        <is>
          <t>PetSmart</t>
        </is>
      </c>
      <c r="C324" s="2" t="n">
        <v>-34.41</v>
      </c>
      <c r="D324" t="inlineStr">
        <is>
          <t>Pets</t>
        </is>
      </c>
      <c r="E324" t="inlineStr">
        <is>
          <t>Expense</t>
        </is>
      </c>
      <c r="F324" t="inlineStr">
        <is>
          <t>2025-06</t>
        </is>
      </c>
    </row>
    <row r="325">
      <c r="A325" t="inlineStr">
        <is>
          <t>2025-06-16</t>
        </is>
      </c>
      <c r="B325" t="inlineStr">
        <is>
          <t>Local Bar &amp; Grill</t>
        </is>
      </c>
      <c r="C325" s="2" t="n">
        <v>-48.47</v>
      </c>
      <c r="D325" t="inlineStr">
        <is>
          <t>Entertainment</t>
        </is>
      </c>
      <c r="E325" t="inlineStr">
        <is>
          <t>Expense</t>
        </is>
      </c>
      <c r="F325" t="inlineStr">
        <is>
          <t>2025-06</t>
        </is>
      </c>
    </row>
    <row r="326">
      <c r="A326" t="inlineStr">
        <is>
          <t>2025-06-17</t>
        </is>
      </c>
      <c r="B326" t="inlineStr">
        <is>
          <t>ATM Withdrawal</t>
        </is>
      </c>
      <c r="C326" s="2" t="n">
        <v>-45.28</v>
      </c>
      <c r="D326" t="inlineStr">
        <is>
          <t>Cash &amp; Misc</t>
        </is>
      </c>
      <c r="E326" t="inlineStr">
        <is>
          <t>Expense</t>
        </is>
      </c>
      <c r="F326" t="inlineStr">
        <is>
          <t>2025-06</t>
        </is>
      </c>
    </row>
    <row r="327">
      <c r="A327" t="inlineStr">
        <is>
          <t>2025-06-17</t>
        </is>
      </c>
      <c r="B327" t="inlineStr">
        <is>
          <t>Best Buy</t>
        </is>
      </c>
      <c r="C327" s="2" t="n">
        <v>-117.28</v>
      </c>
      <c r="D327" t="inlineStr">
        <is>
          <t>Shopping</t>
        </is>
      </c>
      <c r="E327" t="inlineStr">
        <is>
          <t>Expense</t>
        </is>
      </c>
      <c r="F327" t="inlineStr">
        <is>
          <t>2025-06</t>
        </is>
      </c>
    </row>
    <row r="328">
      <c r="A328" t="inlineStr">
        <is>
          <t>2025-06-18</t>
        </is>
      </c>
      <c r="B328" t="inlineStr">
        <is>
          <t>Amazon Prime</t>
        </is>
      </c>
      <c r="C328" s="2" t="n">
        <v>-14.99</v>
      </c>
      <c r="D328" t="inlineStr">
        <is>
          <t>Subscriptions</t>
        </is>
      </c>
      <c r="E328" t="inlineStr">
        <is>
          <t>Expense</t>
        </is>
      </c>
      <c r="F328" t="inlineStr">
        <is>
          <t>2025-06</t>
        </is>
      </c>
    </row>
    <row r="329">
      <c r="A329" t="inlineStr">
        <is>
          <t>2025-06-18</t>
        </is>
      </c>
      <c r="B329" t="inlineStr">
        <is>
          <t>Employer Payroll Direct Dep</t>
        </is>
      </c>
      <c r="C329" s="2" t="n">
        <v>2650</v>
      </c>
      <c r="D329" t="inlineStr">
        <is>
          <t>Income</t>
        </is>
      </c>
      <c r="E329" t="inlineStr">
        <is>
          <t>Income</t>
        </is>
      </c>
      <c r="F329" t="inlineStr">
        <is>
          <t>2025-06</t>
        </is>
      </c>
    </row>
    <row r="330">
      <c r="A330" t="inlineStr">
        <is>
          <t>2025-06-18</t>
        </is>
      </c>
      <c r="B330" t="inlineStr">
        <is>
          <t>Local Bar &amp; Grill</t>
        </is>
      </c>
      <c r="C330" s="2" t="n">
        <v>-50.27</v>
      </c>
      <c r="D330" t="inlineStr">
        <is>
          <t>Entertainment</t>
        </is>
      </c>
      <c r="E330" t="inlineStr">
        <is>
          <t>Expense</t>
        </is>
      </c>
      <c r="F330" t="inlineStr">
        <is>
          <t>2025-06</t>
        </is>
      </c>
    </row>
    <row r="331">
      <c r="A331" t="inlineStr">
        <is>
          <t>2025-06-18</t>
        </is>
      </c>
      <c r="B331" t="inlineStr">
        <is>
          <t>Trader Joe's</t>
        </is>
      </c>
      <c r="C331" s="2" t="n">
        <v>-67.75</v>
      </c>
      <c r="D331" t="inlineStr">
        <is>
          <t>Groceries</t>
        </is>
      </c>
      <c r="E331" t="inlineStr">
        <is>
          <t>Expense</t>
        </is>
      </c>
      <c r="F331" t="inlineStr">
        <is>
          <t>2025-06</t>
        </is>
      </c>
    </row>
    <row r="332">
      <c r="A332" t="inlineStr">
        <is>
          <t>2025-06-18</t>
        </is>
      </c>
      <c r="B332" t="inlineStr">
        <is>
          <t>ATM Withdrawal</t>
        </is>
      </c>
      <c r="C332" s="2" t="n">
        <v>-64.79000000000001</v>
      </c>
      <c r="D332" t="inlineStr">
        <is>
          <t>Cash &amp; Misc</t>
        </is>
      </c>
      <c r="E332" t="inlineStr">
        <is>
          <t>Expense</t>
        </is>
      </c>
      <c r="F332" t="inlineStr">
        <is>
          <t>2025-06</t>
        </is>
      </c>
    </row>
    <row r="333">
      <c r="A333" t="inlineStr">
        <is>
          <t>2025-06-19</t>
        </is>
      </c>
      <c r="B333" t="inlineStr">
        <is>
          <t>Steam Games</t>
        </is>
      </c>
      <c r="C333" s="2" t="n">
        <v>-41.13</v>
      </c>
      <c r="D333" t="inlineStr">
        <is>
          <t>Entertainment</t>
        </is>
      </c>
      <c r="E333" t="inlineStr">
        <is>
          <t>Expense</t>
        </is>
      </c>
      <c r="F333" t="inlineStr">
        <is>
          <t>2025-06</t>
        </is>
      </c>
    </row>
    <row r="334">
      <c r="A334" t="inlineStr">
        <is>
          <t>2025-06-20</t>
        </is>
      </c>
      <c r="B334" t="inlineStr">
        <is>
          <t>Marriott Hotels</t>
        </is>
      </c>
      <c r="C334" s="2" t="n">
        <v>-246.4</v>
      </c>
      <c r="D334" t="inlineStr">
        <is>
          <t>Travel</t>
        </is>
      </c>
      <c r="E334" t="inlineStr">
        <is>
          <t>Expense</t>
        </is>
      </c>
      <c r="F334" t="inlineStr">
        <is>
          <t>2025-06</t>
        </is>
      </c>
    </row>
    <row r="335">
      <c r="A335" t="inlineStr">
        <is>
          <t>2025-06-21</t>
        </is>
      </c>
      <c r="B335" t="inlineStr">
        <is>
          <t>Local Pizza Co</t>
        </is>
      </c>
      <c r="C335" s="2" t="n">
        <v>-30.99</v>
      </c>
      <c r="D335" t="inlineStr">
        <is>
          <t>Dining Out</t>
        </is>
      </c>
      <c r="E335" t="inlineStr">
        <is>
          <t>Expense</t>
        </is>
      </c>
      <c r="F335" t="inlineStr">
        <is>
          <t>2025-06</t>
        </is>
      </c>
    </row>
    <row r="336">
      <c r="A336" t="inlineStr">
        <is>
          <t>2025-06-22</t>
        </is>
      </c>
      <c r="B336" t="inlineStr">
        <is>
          <t>NYTimes Subscription</t>
        </is>
      </c>
      <c r="C336" s="2" t="n">
        <v>-17</v>
      </c>
      <c r="D336" t="inlineStr">
        <is>
          <t>Subscriptions</t>
        </is>
      </c>
      <c r="E336" t="inlineStr">
        <is>
          <t>Expense</t>
        </is>
      </c>
      <c r="F336" t="inlineStr">
        <is>
          <t>2025-06</t>
        </is>
      </c>
    </row>
    <row r="337">
      <c r="A337" t="inlineStr">
        <is>
          <t>2025-06-22</t>
        </is>
      </c>
      <c r="B337" t="inlineStr">
        <is>
          <t>PetSmart</t>
        </is>
      </c>
      <c r="C337" s="2" t="n">
        <v>-26.07</v>
      </c>
      <c r="D337" t="inlineStr">
        <is>
          <t>Pets</t>
        </is>
      </c>
      <c r="E337" t="inlineStr">
        <is>
          <t>Expense</t>
        </is>
      </c>
      <c r="F337" t="inlineStr">
        <is>
          <t>2025-06</t>
        </is>
      </c>
    </row>
    <row r="338">
      <c r="A338" t="inlineStr">
        <is>
          <t>2025-06-23</t>
        </is>
      </c>
      <c r="B338" t="inlineStr">
        <is>
          <t>Amazon.com</t>
        </is>
      </c>
      <c r="C338" s="2" t="n">
        <v>-109.37</v>
      </c>
      <c r="D338" t="inlineStr">
        <is>
          <t>Shopping</t>
        </is>
      </c>
      <c r="E338" t="inlineStr">
        <is>
          <t>Expense</t>
        </is>
      </c>
      <c r="F338" t="inlineStr">
        <is>
          <t>2025-06</t>
        </is>
      </c>
    </row>
    <row r="339">
      <c r="A339" t="inlineStr">
        <is>
          <t>2025-06-23</t>
        </is>
      </c>
      <c r="B339" t="inlineStr">
        <is>
          <t>CVS Pharmacy</t>
        </is>
      </c>
      <c r="C339" s="2" t="n">
        <v>-28.38</v>
      </c>
      <c r="D339" t="inlineStr">
        <is>
          <t>Health &amp; Fitness</t>
        </is>
      </c>
      <c r="E339" t="inlineStr">
        <is>
          <t>Expense</t>
        </is>
      </c>
      <c r="F339" t="inlineStr">
        <is>
          <t>2025-06</t>
        </is>
      </c>
    </row>
    <row r="340">
      <c r="A340" t="inlineStr">
        <is>
          <t>2025-06-23</t>
        </is>
      </c>
      <c r="B340" t="inlineStr">
        <is>
          <t>Southwest Airlines</t>
        </is>
      </c>
      <c r="C340" s="2" t="n">
        <v>-173.3</v>
      </c>
      <c r="D340" t="inlineStr">
        <is>
          <t>Travel</t>
        </is>
      </c>
      <c r="E340" t="inlineStr">
        <is>
          <t>Expense</t>
        </is>
      </c>
      <c r="F340" t="inlineStr">
        <is>
          <t>2025-06</t>
        </is>
      </c>
    </row>
    <row r="341">
      <c r="A341" t="inlineStr">
        <is>
          <t>2025-06-24</t>
        </is>
      </c>
      <c r="B341" t="inlineStr">
        <is>
          <t>The Cheesecake Factory</t>
        </is>
      </c>
      <c r="C341" s="2" t="n">
        <v>-53.46</v>
      </c>
      <c r="D341" t="inlineStr">
        <is>
          <t>Dining Out</t>
        </is>
      </c>
      <c r="E341" t="inlineStr">
        <is>
          <t>Expense</t>
        </is>
      </c>
      <c r="F341" t="inlineStr">
        <is>
          <t>2025-06</t>
        </is>
      </c>
    </row>
    <row r="342">
      <c r="A342" t="inlineStr">
        <is>
          <t>2025-06-24</t>
        </is>
      </c>
      <c r="B342" t="inlineStr">
        <is>
          <t>The Cheesecake Factory</t>
        </is>
      </c>
      <c r="C342" s="2" t="n">
        <v>-60.91</v>
      </c>
      <c r="D342" t="inlineStr">
        <is>
          <t>Dining Out</t>
        </is>
      </c>
      <c r="E342" t="inlineStr">
        <is>
          <t>Expense</t>
        </is>
      </c>
      <c r="F342" t="inlineStr">
        <is>
          <t>2025-06</t>
        </is>
      </c>
    </row>
    <row r="343">
      <c r="A343" t="inlineStr">
        <is>
          <t>2025-06-24</t>
        </is>
      </c>
      <c r="B343" t="inlineStr">
        <is>
          <t>Shell Gas Station</t>
        </is>
      </c>
      <c r="C343" s="2" t="n">
        <v>-47.46</v>
      </c>
      <c r="D343" t="inlineStr">
        <is>
          <t>Transportation</t>
        </is>
      </c>
      <c r="E343" t="inlineStr">
        <is>
          <t>Expense</t>
        </is>
      </c>
      <c r="F343" t="inlineStr">
        <is>
          <t>2025-06</t>
        </is>
      </c>
    </row>
    <row r="344">
      <c r="A344" t="inlineStr">
        <is>
          <t>2025-06-25</t>
        </is>
      </c>
      <c r="B344" t="inlineStr">
        <is>
          <t>Student Loan Servicer</t>
        </is>
      </c>
      <c r="C344" s="2" t="n">
        <v>-220</v>
      </c>
      <c r="D344" t="inlineStr">
        <is>
          <t>Debt Payments</t>
        </is>
      </c>
      <c r="E344" t="inlineStr">
        <is>
          <t>Expense</t>
        </is>
      </c>
      <c r="F344" t="inlineStr">
        <is>
          <t>2025-06</t>
        </is>
      </c>
    </row>
    <row r="345">
      <c r="A345" t="inlineStr">
        <is>
          <t>2025-06-25</t>
        </is>
      </c>
      <c r="B345" t="inlineStr">
        <is>
          <t>Chase Credit Card Payment</t>
        </is>
      </c>
      <c r="C345" s="2" t="n">
        <v>-411.62</v>
      </c>
      <c r="D345" t="inlineStr">
        <is>
          <t>Debt Payments</t>
        </is>
      </c>
      <c r="E345" t="inlineStr">
        <is>
          <t>Expense</t>
        </is>
      </c>
      <c r="F345" t="inlineStr">
        <is>
          <t>2025-06</t>
        </is>
      </c>
    </row>
    <row r="346">
      <c r="A346" t="inlineStr">
        <is>
          <t>2025-06-25</t>
        </is>
      </c>
      <c r="B346" t="inlineStr">
        <is>
          <t>Southwest Airlines</t>
        </is>
      </c>
      <c r="C346" s="2" t="n">
        <v>-358.68</v>
      </c>
      <c r="D346" t="inlineStr">
        <is>
          <t>Travel</t>
        </is>
      </c>
      <c r="E346" t="inlineStr">
        <is>
          <t>Expense</t>
        </is>
      </c>
      <c r="F346" t="inlineStr">
        <is>
          <t>2025-06</t>
        </is>
      </c>
    </row>
    <row r="347">
      <c r="A347" t="inlineStr">
        <is>
          <t>2025-06-26</t>
        </is>
      </c>
      <c r="B347" t="inlineStr">
        <is>
          <t>Amazon.com</t>
        </is>
      </c>
      <c r="C347" s="2" t="n">
        <v>-73.95</v>
      </c>
      <c r="D347" t="inlineStr">
        <is>
          <t>Shopping</t>
        </is>
      </c>
      <c r="E347" t="inlineStr">
        <is>
          <t>Expense</t>
        </is>
      </c>
      <c r="F347" t="inlineStr">
        <is>
          <t>2025-06</t>
        </is>
      </c>
    </row>
    <row r="348">
      <c r="A348" t="inlineStr">
        <is>
          <t>2025-06-26</t>
        </is>
      </c>
      <c r="B348" t="inlineStr">
        <is>
          <t>Shell Gas Station</t>
        </is>
      </c>
      <c r="C348" s="2" t="n">
        <v>-44.59</v>
      </c>
      <c r="D348" t="inlineStr">
        <is>
          <t>Transportation</t>
        </is>
      </c>
      <c r="E348" t="inlineStr">
        <is>
          <t>Expense</t>
        </is>
      </c>
      <c r="F348" t="inlineStr">
        <is>
          <t>2025-06</t>
        </is>
      </c>
    </row>
    <row r="349">
      <c r="A349" t="inlineStr">
        <is>
          <t>2025-06-26</t>
        </is>
      </c>
      <c r="B349" t="inlineStr">
        <is>
          <t>Chase Credit Card Payment</t>
        </is>
      </c>
      <c r="C349" s="2" t="n">
        <v>-423.89</v>
      </c>
      <c r="D349" t="inlineStr">
        <is>
          <t>Debt Payments</t>
        </is>
      </c>
      <c r="E349" t="inlineStr">
        <is>
          <t>Expense</t>
        </is>
      </c>
      <c r="F349" t="inlineStr">
        <is>
          <t>2025-06</t>
        </is>
      </c>
    </row>
    <row r="350">
      <c r="A350" t="inlineStr">
        <is>
          <t>2025-06-29</t>
        </is>
      </c>
      <c r="B350" t="inlineStr">
        <is>
          <t>Southwest Airlines</t>
        </is>
      </c>
      <c r="C350" s="2" t="n">
        <v>-234.97</v>
      </c>
      <c r="D350" t="inlineStr">
        <is>
          <t>Travel</t>
        </is>
      </c>
      <c r="E350" t="inlineStr">
        <is>
          <t>Expense</t>
        </is>
      </c>
      <c r="F350" t="inlineStr">
        <is>
          <t>2025-06</t>
        </is>
      </c>
    </row>
    <row r="351">
      <c r="A351" t="inlineStr">
        <is>
          <t>2025-06-29</t>
        </is>
      </c>
      <c r="B351" t="inlineStr">
        <is>
          <t>Chase Credit Card Payment</t>
        </is>
      </c>
      <c r="C351" s="2" t="n">
        <v>-280.15</v>
      </c>
      <c r="D351" t="inlineStr">
        <is>
          <t>Debt Payments</t>
        </is>
      </c>
      <c r="E351" t="inlineStr">
        <is>
          <t>Expense</t>
        </is>
      </c>
      <c r="F351" t="inlineStr">
        <is>
          <t>2025-06</t>
        </is>
      </c>
    </row>
  </sheetData>
  <autoFilter ref="A1:F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sheetData>
    <row r="3">
      <c r="A3" s="3" t="inlineStr">
        <is>
          <t>Category</t>
        </is>
      </c>
      <c r="B3" s="3" t="inlineStr">
        <is>
          <t>2025-01</t>
        </is>
      </c>
      <c r="C3" s="3" t="inlineStr">
        <is>
          <t>2025-02</t>
        </is>
      </c>
      <c r="D3" s="3" t="inlineStr">
        <is>
          <t>2025-03</t>
        </is>
      </c>
      <c r="E3" s="3" t="inlineStr">
        <is>
          <t>2025-04</t>
        </is>
      </c>
      <c r="F3" s="3" t="inlineStr">
        <is>
          <t>2025-05</t>
        </is>
      </c>
      <c r="G3" s="3" t="inlineStr">
        <is>
          <t>2025-06</t>
        </is>
      </c>
      <c r="H3" s="3" t="inlineStr">
        <is>
          <t>Total</t>
        </is>
      </c>
    </row>
    <row r="4">
      <c r="A4" t="inlineStr">
        <is>
          <t>Cash &amp; Misc</t>
        </is>
      </c>
      <c r="B4" s="4">
        <f>-SUMIFS(Transactions!$C$2:$C$351,Transactions!$D$2:$D$351,$A4,Transactions!$F$2:$F$351,B$3)</f>
        <v/>
      </c>
      <c r="C4" s="4">
        <f>-SUMIFS(Transactions!$C$2:$C$351,Transactions!$D$2:$D$351,$A4,Transactions!$F$2:$F$351,C$3)</f>
        <v/>
      </c>
      <c r="D4" s="4">
        <f>-SUMIFS(Transactions!$C$2:$C$351,Transactions!$D$2:$D$351,$A4,Transactions!$F$2:$F$351,D$3)</f>
        <v/>
      </c>
      <c r="E4" s="4">
        <f>-SUMIFS(Transactions!$C$2:$C$351,Transactions!$D$2:$D$351,$A4,Transactions!$F$2:$F$351,E$3)</f>
        <v/>
      </c>
      <c r="F4" s="4">
        <f>-SUMIFS(Transactions!$C$2:$C$351,Transactions!$D$2:$D$351,$A4,Transactions!$F$2:$F$351,F$3)</f>
        <v/>
      </c>
      <c r="G4" s="4">
        <f>-SUMIFS(Transactions!$C$2:$C$351,Transactions!$D$2:$D$351,$A4,Transactions!$F$2:$F$351,G$3)</f>
        <v/>
      </c>
      <c r="H4" s="4">
        <f>SUM(B4:G4)</f>
        <v/>
      </c>
    </row>
    <row r="5">
      <c r="A5" t="inlineStr">
        <is>
          <t>Debt Payments</t>
        </is>
      </c>
      <c r="B5" s="4">
        <f>-SUMIFS(Transactions!$C$2:$C$351,Transactions!$D$2:$D$351,$A5,Transactions!$F$2:$F$351,B$3)</f>
        <v/>
      </c>
      <c r="C5" s="4">
        <f>-SUMIFS(Transactions!$C$2:$C$351,Transactions!$D$2:$D$351,$A5,Transactions!$F$2:$F$351,C$3)</f>
        <v/>
      </c>
      <c r="D5" s="4">
        <f>-SUMIFS(Transactions!$C$2:$C$351,Transactions!$D$2:$D$351,$A5,Transactions!$F$2:$F$351,D$3)</f>
        <v/>
      </c>
      <c r="E5" s="4">
        <f>-SUMIFS(Transactions!$C$2:$C$351,Transactions!$D$2:$D$351,$A5,Transactions!$F$2:$F$351,E$3)</f>
        <v/>
      </c>
      <c r="F5" s="4">
        <f>-SUMIFS(Transactions!$C$2:$C$351,Transactions!$D$2:$D$351,$A5,Transactions!$F$2:$F$351,F$3)</f>
        <v/>
      </c>
      <c r="G5" s="4">
        <f>-SUMIFS(Transactions!$C$2:$C$351,Transactions!$D$2:$D$351,$A5,Transactions!$F$2:$F$351,G$3)</f>
        <v/>
      </c>
      <c r="H5" s="4">
        <f>SUM(B5:G5)</f>
        <v/>
      </c>
    </row>
    <row r="6">
      <c r="A6" t="inlineStr">
        <is>
          <t>Dining Out</t>
        </is>
      </c>
      <c r="B6" s="4">
        <f>-SUMIFS(Transactions!$C$2:$C$351,Transactions!$D$2:$D$351,$A6,Transactions!$F$2:$F$351,B$3)</f>
        <v/>
      </c>
      <c r="C6" s="4">
        <f>-SUMIFS(Transactions!$C$2:$C$351,Transactions!$D$2:$D$351,$A6,Transactions!$F$2:$F$351,C$3)</f>
        <v/>
      </c>
      <c r="D6" s="4">
        <f>-SUMIFS(Transactions!$C$2:$C$351,Transactions!$D$2:$D$351,$A6,Transactions!$F$2:$F$351,D$3)</f>
        <v/>
      </c>
      <c r="E6" s="4">
        <f>-SUMIFS(Transactions!$C$2:$C$351,Transactions!$D$2:$D$351,$A6,Transactions!$F$2:$F$351,E$3)</f>
        <v/>
      </c>
      <c r="F6" s="4">
        <f>-SUMIFS(Transactions!$C$2:$C$351,Transactions!$D$2:$D$351,$A6,Transactions!$F$2:$F$351,F$3)</f>
        <v/>
      </c>
      <c r="G6" s="4">
        <f>-SUMIFS(Transactions!$C$2:$C$351,Transactions!$D$2:$D$351,$A6,Transactions!$F$2:$F$351,G$3)</f>
        <v/>
      </c>
      <c r="H6" s="4">
        <f>SUM(B6:G6)</f>
        <v/>
      </c>
    </row>
    <row r="7">
      <c r="A7" t="inlineStr">
        <is>
          <t>Entertainment</t>
        </is>
      </c>
      <c r="B7" s="4">
        <f>-SUMIFS(Transactions!$C$2:$C$351,Transactions!$D$2:$D$351,$A7,Transactions!$F$2:$F$351,B$3)</f>
        <v/>
      </c>
      <c r="C7" s="4">
        <f>-SUMIFS(Transactions!$C$2:$C$351,Transactions!$D$2:$D$351,$A7,Transactions!$F$2:$F$351,C$3)</f>
        <v/>
      </c>
      <c r="D7" s="4">
        <f>-SUMIFS(Transactions!$C$2:$C$351,Transactions!$D$2:$D$351,$A7,Transactions!$F$2:$F$351,D$3)</f>
        <v/>
      </c>
      <c r="E7" s="4">
        <f>-SUMIFS(Transactions!$C$2:$C$351,Transactions!$D$2:$D$351,$A7,Transactions!$F$2:$F$351,E$3)</f>
        <v/>
      </c>
      <c r="F7" s="4">
        <f>-SUMIFS(Transactions!$C$2:$C$351,Transactions!$D$2:$D$351,$A7,Transactions!$F$2:$F$351,F$3)</f>
        <v/>
      </c>
      <c r="G7" s="4">
        <f>-SUMIFS(Transactions!$C$2:$C$351,Transactions!$D$2:$D$351,$A7,Transactions!$F$2:$F$351,G$3)</f>
        <v/>
      </c>
      <c r="H7" s="4">
        <f>SUM(B7:G7)</f>
        <v/>
      </c>
    </row>
    <row r="8">
      <c r="A8" t="inlineStr">
        <is>
          <t>Groceries</t>
        </is>
      </c>
      <c r="B8" s="4">
        <f>-SUMIFS(Transactions!$C$2:$C$351,Transactions!$D$2:$D$351,$A8,Transactions!$F$2:$F$351,B$3)</f>
        <v/>
      </c>
      <c r="C8" s="4">
        <f>-SUMIFS(Transactions!$C$2:$C$351,Transactions!$D$2:$D$351,$A8,Transactions!$F$2:$F$351,C$3)</f>
        <v/>
      </c>
      <c r="D8" s="4">
        <f>-SUMIFS(Transactions!$C$2:$C$351,Transactions!$D$2:$D$351,$A8,Transactions!$F$2:$F$351,D$3)</f>
        <v/>
      </c>
      <c r="E8" s="4">
        <f>-SUMIFS(Transactions!$C$2:$C$351,Transactions!$D$2:$D$351,$A8,Transactions!$F$2:$F$351,E$3)</f>
        <v/>
      </c>
      <c r="F8" s="4">
        <f>-SUMIFS(Transactions!$C$2:$C$351,Transactions!$D$2:$D$351,$A8,Transactions!$F$2:$F$351,F$3)</f>
        <v/>
      </c>
      <c r="G8" s="4">
        <f>-SUMIFS(Transactions!$C$2:$C$351,Transactions!$D$2:$D$351,$A8,Transactions!$F$2:$F$351,G$3)</f>
        <v/>
      </c>
      <c r="H8" s="4">
        <f>SUM(B8:G8)</f>
        <v/>
      </c>
    </row>
    <row r="9">
      <c r="A9" t="inlineStr">
        <is>
          <t>Health &amp; Fitness</t>
        </is>
      </c>
      <c r="B9" s="4">
        <f>-SUMIFS(Transactions!$C$2:$C$351,Transactions!$D$2:$D$351,$A9,Transactions!$F$2:$F$351,B$3)</f>
        <v/>
      </c>
      <c r="C9" s="4">
        <f>-SUMIFS(Transactions!$C$2:$C$351,Transactions!$D$2:$D$351,$A9,Transactions!$F$2:$F$351,C$3)</f>
        <v/>
      </c>
      <c r="D9" s="4">
        <f>-SUMIFS(Transactions!$C$2:$C$351,Transactions!$D$2:$D$351,$A9,Transactions!$F$2:$F$351,D$3)</f>
        <v/>
      </c>
      <c r="E9" s="4">
        <f>-SUMIFS(Transactions!$C$2:$C$351,Transactions!$D$2:$D$351,$A9,Transactions!$F$2:$F$351,E$3)</f>
        <v/>
      </c>
      <c r="F9" s="4">
        <f>-SUMIFS(Transactions!$C$2:$C$351,Transactions!$D$2:$D$351,$A9,Transactions!$F$2:$F$351,F$3)</f>
        <v/>
      </c>
      <c r="G9" s="4">
        <f>-SUMIFS(Transactions!$C$2:$C$351,Transactions!$D$2:$D$351,$A9,Transactions!$F$2:$F$351,G$3)</f>
        <v/>
      </c>
      <c r="H9" s="4">
        <f>SUM(B9:G9)</f>
        <v/>
      </c>
    </row>
    <row r="10">
      <c r="A10" t="inlineStr">
        <is>
          <t>Housing</t>
        </is>
      </c>
      <c r="B10" s="4">
        <f>-SUMIFS(Transactions!$C$2:$C$351,Transactions!$D$2:$D$351,$A10,Transactions!$F$2:$F$351,B$3)</f>
        <v/>
      </c>
      <c r="C10" s="4">
        <f>-SUMIFS(Transactions!$C$2:$C$351,Transactions!$D$2:$D$351,$A10,Transactions!$F$2:$F$351,C$3)</f>
        <v/>
      </c>
      <c r="D10" s="4">
        <f>-SUMIFS(Transactions!$C$2:$C$351,Transactions!$D$2:$D$351,$A10,Transactions!$F$2:$F$351,D$3)</f>
        <v/>
      </c>
      <c r="E10" s="4">
        <f>-SUMIFS(Transactions!$C$2:$C$351,Transactions!$D$2:$D$351,$A10,Transactions!$F$2:$F$351,E$3)</f>
        <v/>
      </c>
      <c r="F10" s="4">
        <f>-SUMIFS(Transactions!$C$2:$C$351,Transactions!$D$2:$D$351,$A10,Transactions!$F$2:$F$351,F$3)</f>
        <v/>
      </c>
      <c r="G10" s="4">
        <f>-SUMIFS(Transactions!$C$2:$C$351,Transactions!$D$2:$D$351,$A10,Transactions!$F$2:$F$351,G$3)</f>
        <v/>
      </c>
      <c r="H10" s="4">
        <f>SUM(B10:G10)</f>
        <v/>
      </c>
    </row>
    <row r="11">
      <c r="A11" t="inlineStr">
        <is>
          <t>Insurance</t>
        </is>
      </c>
      <c r="B11" s="4">
        <f>-SUMIFS(Transactions!$C$2:$C$351,Transactions!$D$2:$D$351,$A11,Transactions!$F$2:$F$351,B$3)</f>
        <v/>
      </c>
      <c r="C11" s="4">
        <f>-SUMIFS(Transactions!$C$2:$C$351,Transactions!$D$2:$D$351,$A11,Transactions!$F$2:$F$351,C$3)</f>
        <v/>
      </c>
      <c r="D11" s="4">
        <f>-SUMIFS(Transactions!$C$2:$C$351,Transactions!$D$2:$D$351,$A11,Transactions!$F$2:$F$351,D$3)</f>
        <v/>
      </c>
      <c r="E11" s="4">
        <f>-SUMIFS(Transactions!$C$2:$C$351,Transactions!$D$2:$D$351,$A11,Transactions!$F$2:$F$351,E$3)</f>
        <v/>
      </c>
      <c r="F11" s="4">
        <f>-SUMIFS(Transactions!$C$2:$C$351,Transactions!$D$2:$D$351,$A11,Transactions!$F$2:$F$351,F$3)</f>
        <v/>
      </c>
      <c r="G11" s="4">
        <f>-SUMIFS(Transactions!$C$2:$C$351,Transactions!$D$2:$D$351,$A11,Transactions!$F$2:$F$351,G$3)</f>
        <v/>
      </c>
      <c r="H11" s="4">
        <f>SUM(B11:G11)</f>
        <v/>
      </c>
    </row>
    <row r="12">
      <c r="A12" t="inlineStr">
        <is>
          <t>Pets</t>
        </is>
      </c>
      <c r="B12" s="4">
        <f>-SUMIFS(Transactions!$C$2:$C$351,Transactions!$D$2:$D$351,$A12,Transactions!$F$2:$F$351,B$3)</f>
        <v/>
      </c>
      <c r="C12" s="4">
        <f>-SUMIFS(Transactions!$C$2:$C$351,Transactions!$D$2:$D$351,$A12,Transactions!$F$2:$F$351,C$3)</f>
        <v/>
      </c>
      <c r="D12" s="4">
        <f>-SUMIFS(Transactions!$C$2:$C$351,Transactions!$D$2:$D$351,$A12,Transactions!$F$2:$F$351,D$3)</f>
        <v/>
      </c>
      <c r="E12" s="4">
        <f>-SUMIFS(Transactions!$C$2:$C$351,Transactions!$D$2:$D$351,$A12,Transactions!$F$2:$F$351,E$3)</f>
        <v/>
      </c>
      <c r="F12" s="4">
        <f>-SUMIFS(Transactions!$C$2:$C$351,Transactions!$D$2:$D$351,$A12,Transactions!$F$2:$F$351,F$3)</f>
        <v/>
      </c>
      <c r="G12" s="4">
        <f>-SUMIFS(Transactions!$C$2:$C$351,Transactions!$D$2:$D$351,$A12,Transactions!$F$2:$F$351,G$3)</f>
        <v/>
      </c>
      <c r="H12" s="4">
        <f>SUM(B12:G12)</f>
        <v/>
      </c>
    </row>
    <row r="13">
      <c r="A13" t="inlineStr">
        <is>
          <t>Shopping</t>
        </is>
      </c>
      <c r="B13" s="4">
        <f>-SUMIFS(Transactions!$C$2:$C$351,Transactions!$D$2:$D$351,$A13,Transactions!$F$2:$F$351,B$3)</f>
        <v/>
      </c>
      <c r="C13" s="4">
        <f>-SUMIFS(Transactions!$C$2:$C$351,Transactions!$D$2:$D$351,$A13,Transactions!$F$2:$F$351,C$3)</f>
        <v/>
      </c>
      <c r="D13" s="4">
        <f>-SUMIFS(Transactions!$C$2:$C$351,Transactions!$D$2:$D$351,$A13,Transactions!$F$2:$F$351,D$3)</f>
        <v/>
      </c>
      <c r="E13" s="4">
        <f>-SUMIFS(Transactions!$C$2:$C$351,Transactions!$D$2:$D$351,$A13,Transactions!$F$2:$F$351,E$3)</f>
        <v/>
      </c>
      <c r="F13" s="4">
        <f>-SUMIFS(Transactions!$C$2:$C$351,Transactions!$D$2:$D$351,$A13,Transactions!$F$2:$F$351,F$3)</f>
        <v/>
      </c>
      <c r="G13" s="4">
        <f>-SUMIFS(Transactions!$C$2:$C$351,Transactions!$D$2:$D$351,$A13,Transactions!$F$2:$F$351,G$3)</f>
        <v/>
      </c>
      <c r="H13" s="4">
        <f>SUM(B13:G13)</f>
        <v/>
      </c>
    </row>
    <row r="14">
      <c r="A14" t="inlineStr">
        <is>
          <t>Subscriptions</t>
        </is>
      </c>
      <c r="B14" s="4">
        <f>-SUMIFS(Transactions!$C$2:$C$351,Transactions!$D$2:$D$351,$A14,Transactions!$F$2:$F$351,B$3)</f>
        <v/>
      </c>
      <c r="C14" s="4">
        <f>-SUMIFS(Transactions!$C$2:$C$351,Transactions!$D$2:$D$351,$A14,Transactions!$F$2:$F$351,C$3)</f>
        <v/>
      </c>
      <c r="D14" s="4">
        <f>-SUMIFS(Transactions!$C$2:$C$351,Transactions!$D$2:$D$351,$A14,Transactions!$F$2:$F$351,D$3)</f>
        <v/>
      </c>
      <c r="E14" s="4">
        <f>-SUMIFS(Transactions!$C$2:$C$351,Transactions!$D$2:$D$351,$A14,Transactions!$F$2:$F$351,E$3)</f>
        <v/>
      </c>
      <c r="F14" s="4">
        <f>-SUMIFS(Transactions!$C$2:$C$351,Transactions!$D$2:$D$351,$A14,Transactions!$F$2:$F$351,F$3)</f>
        <v/>
      </c>
      <c r="G14" s="4">
        <f>-SUMIFS(Transactions!$C$2:$C$351,Transactions!$D$2:$D$351,$A14,Transactions!$F$2:$F$351,G$3)</f>
        <v/>
      </c>
      <c r="H14" s="4">
        <f>SUM(B14:G14)</f>
        <v/>
      </c>
    </row>
    <row r="15">
      <c r="A15" t="inlineStr">
        <is>
          <t>Transportation</t>
        </is>
      </c>
      <c r="B15" s="4">
        <f>-SUMIFS(Transactions!$C$2:$C$351,Transactions!$D$2:$D$351,$A15,Transactions!$F$2:$F$351,B$3)</f>
        <v/>
      </c>
      <c r="C15" s="4">
        <f>-SUMIFS(Transactions!$C$2:$C$351,Transactions!$D$2:$D$351,$A15,Transactions!$F$2:$F$351,C$3)</f>
        <v/>
      </c>
      <c r="D15" s="4">
        <f>-SUMIFS(Transactions!$C$2:$C$351,Transactions!$D$2:$D$351,$A15,Transactions!$F$2:$F$351,D$3)</f>
        <v/>
      </c>
      <c r="E15" s="4">
        <f>-SUMIFS(Transactions!$C$2:$C$351,Transactions!$D$2:$D$351,$A15,Transactions!$F$2:$F$351,E$3)</f>
        <v/>
      </c>
      <c r="F15" s="4">
        <f>-SUMIFS(Transactions!$C$2:$C$351,Transactions!$D$2:$D$351,$A15,Transactions!$F$2:$F$351,F$3)</f>
        <v/>
      </c>
      <c r="G15" s="4">
        <f>-SUMIFS(Transactions!$C$2:$C$351,Transactions!$D$2:$D$351,$A15,Transactions!$F$2:$F$351,G$3)</f>
        <v/>
      </c>
      <c r="H15" s="4">
        <f>SUM(B15:G15)</f>
        <v/>
      </c>
    </row>
    <row r="16">
      <c r="A16" t="inlineStr">
        <is>
          <t>Travel</t>
        </is>
      </c>
      <c r="B16" s="4">
        <f>-SUMIFS(Transactions!$C$2:$C$351,Transactions!$D$2:$D$351,$A16,Transactions!$F$2:$F$351,B$3)</f>
        <v/>
      </c>
      <c r="C16" s="4">
        <f>-SUMIFS(Transactions!$C$2:$C$351,Transactions!$D$2:$D$351,$A16,Transactions!$F$2:$F$351,C$3)</f>
        <v/>
      </c>
      <c r="D16" s="4">
        <f>-SUMIFS(Transactions!$C$2:$C$351,Transactions!$D$2:$D$351,$A16,Transactions!$F$2:$F$351,D$3)</f>
        <v/>
      </c>
      <c r="E16" s="4">
        <f>-SUMIFS(Transactions!$C$2:$C$351,Transactions!$D$2:$D$351,$A16,Transactions!$F$2:$F$351,E$3)</f>
        <v/>
      </c>
      <c r="F16" s="4">
        <f>-SUMIFS(Transactions!$C$2:$C$351,Transactions!$D$2:$D$351,$A16,Transactions!$F$2:$F$351,F$3)</f>
        <v/>
      </c>
      <c r="G16" s="4">
        <f>-SUMIFS(Transactions!$C$2:$C$351,Transactions!$D$2:$D$351,$A16,Transactions!$F$2:$F$351,G$3)</f>
        <v/>
      </c>
      <c r="H16" s="4">
        <f>SUM(B16:G16)</f>
        <v/>
      </c>
    </row>
    <row r="17">
      <c r="A17" t="inlineStr">
        <is>
          <t>Utilities</t>
        </is>
      </c>
      <c r="B17" s="4">
        <f>-SUMIFS(Transactions!$C$2:$C$351,Transactions!$D$2:$D$351,$A17,Transactions!$F$2:$F$351,B$3)</f>
        <v/>
      </c>
      <c r="C17" s="4">
        <f>-SUMIFS(Transactions!$C$2:$C$351,Transactions!$D$2:$D$351,$A17,Transactions!$F$2:$F$351,C$3)</f>
        <v/>
      </c>
      <c r="D17" s="4">
        <f>-SUMIFS(Transactions!$C$2:$C$351,Transactions!$D$2:$D$351,$A17,Transactions!$F$2:$F$351,D$3)</f>
        <v/>
      </c>
      <c r="E17" s="4">
        <f>-SUMIFS(Transactions!$C$2:$C$351,Transactions!$D$2:$D$351,$A17,Transactions!$F$2:$F$351,E$3)</f>
        <v/>
      </c>
      <c r="F17" s="4">
        <f>-SUMIFS(Transactions!$C$2:$C$351,Transactions!$D$2:$D$351,$A17,Transactions!$F$2:$F$351,F$3)</f>
        <v/>
      </c>
      <c r="G17" s="4">
        <f>-SUMIFS(Transactions!$C$2:$C$351,Transactions!$D$2:$D$351,$A17,Transactions!$F$2:$F$351,G$3)</f>
        <v/>
      </c>
      <c r="H17" s="4">
        <f>SUM(B17:G17)</f>
        <v/>
      </c>
    </row>
    <row r="18">
      <c r="A18" s="5" t="inlineStr">
        <is>
          <t>Total Spending</t>
        </is>
      </c>
      <c r="B18" s="6">
        <f>SUM(B4:B17)</f>
        <v/>
      </c>
      <c r="C18" s="6">
        <f>SUM(C4:C17)</f>
        <v/>
      </c>
      <c r="D18" s="6">
        <f>SUM(D4:D17)</f>
        <v/>
      </c>
      <c r="E18" s="6">
        <f>SUM(E4:E17)</f>
        <v/>
      </c>
      <c r="F18" s="6">
        <f>SUM(F4:F17)</f>
        <v/>
      </c>
      <c r="G18" s="6">
        <f>SUM(G4:G17)</f>
        <v/>
      </c>
      <c r="H18" s="6">
        <f>SUM(H4:H17)</f>
        <v/>
      </c>
    </row>
    <row r="21">
      <c r="A21" s="7" t="inlineStr">
        <is>
          <t>Income vs. Expenses vs. Savings</t>
        </is>
      </c>
    </row>
    <row r="22">
      <c r="A22" s="3" t="inlineStr">
        <is>
          <t>Metric</t>
        </is>
      </c>
      <c r="B22" s="3" t="inlineStr">
        <is>
          <t>2025-01</t>
        </is>
      </c>
      <c r="C22" s="3" t="inlineStr">
        <is>
          <t>2025-02</t>
        </is>
      </c>
      <c r="D22" s="3" t="inlineStr">
        <is>
          <t>2025-03</t>
        </is>
      </c>
      <c r="E22" s="3" t="inlineStr">
        <is>
          <t>2025-04</t>
        </is>
      </c>
      <c r="F22" s="3" t="inlineStr">
        <is>
          <t>2025-05</t>
        </is>
      </c>
      <c r="G22" s="3" t="inlineStr">
        <is>
          <t>2025-06</t>
        </is>
      </c>
    </row>
    <row r="23">
      <c r="A23" t="inlineStr">
        <is>
          <t>Income</t>
        </is>
      </c>
      <c r="B23" s="4">
        <f>SUMIFS(Transactions!$C$2:$C$351,Transactions!$E$2:$E$351,"Income",Transactions!$F$2:$F$351,B$3)</f>
        <v/>
      </c>
      <c r="C23" s="4">
        <f>SUMIFS(Transactions!$C$2:$C$351,Transactions!$E$2:$E$351,"Income",Transactions!$F$2:$F$351,C$3)</f>
        <v/>
      </c>
      <c r="D23" s="4">
        <f>SUMIFS(Transactions!$C$2:$C$351,Transactions!$E$2:$E$351,"Income",Transactions!$F$2:$F$351,D$3)</f>
        <v/>
      </c>
      <c r="E23" s="4">
        <f>SUMIFS(Transactions!$C$2:$C$351,Transactions!$E$2:$E$351,"Income",Transactions!$F$2:$F$351,E$3)</f>
        <v/>
      </c>
      <c r="F23" s="4">
        <f>SUMIFS(Transactions!$C$2:$C$351,Transactions!$E$2:$E$351,"Income",Transactions!$F$2:$F$351,F$3)</f>
        <v/>
      </c>
      <c r="G23" s="4">
        <f>SUMIFS(Transactions!$C$2:$C$351,Transactions!$E$2:$E$351,"Income",Transactions!$F$2:$F$351,G$3)</f>
        <v/>
      </c>
    </row>
    <row r="24">
      <c r="A24" t="inlineStr">
        <is>
          <t>Expenses</t>
        </is>
      </c>
      <c r="B24" s="4">
        <f>B18</f>
        <v/>
      </c>
      <c r="C24" s="4">
        <f>C18</f>
        <v/>
      </c>
      <c r="D24" s="4">
        <f>D18</f>
        <v/>
      </c>
      <c r="E24" s="4">
        <f>E18</f>
        <v/>
      </c>
      <c r="F24" s="4">
        <f>F18</f>
        <v/>
      </c>
      <c r="G24" s="4">
        <f>G18</f>
        <v/>
      </c>
    </row>
    <row r="25">
      <c r="A25" s="5" t="inlineStr">
        <is>
          <t>Net Savings</t>
        </is>
      </c>
      <c r="B25" s="6">
        <f>B23-B24</f>
        <v/>
      </c>
      <c r="C25" s="6">
        <f>C23-C24</f>
        <v/>
      </c>
      <c r="D25" s="6">
        <f>D23-D24</f>
        <v/>
      </c>
      <c r="E25" s="6">
        <f>E23-E24</f>
        <v/>
      </c>
      <c r="F25" s="6">
        <f>F23-F24</f>
        <v/>
      </c>
      <c r="G25" s="6">
        <f>G23-G24</f>
        <v/>
      </c>
    </row>
    <row r="26">
      <c r="A26" s="5" t="inlineStr">
        <is>
          <t>Savings Rate</t>
        </is>
      </c>
      <c r="B26" s="8">
        <f>IF(B23=0,0,B25/B23)</f>
        <v/>
      </c>
      <c r="C26" s="8">
        <f>IF(C23=0,0,C25/C23)</f>
        <v/>
      </c>
      <c r="D26" s="8">
        <f>IF(D23=0,0,D25/D23)</f>
        <v/>
      </c>
      <c r="E26" s="8">
        <f>IF(E23=0,0,E25/E23)</f>
        <v/>
      </c>
      <c r="F26" s="8">
        <f>IF(F23=0,0,F25/F23)</f>
        <v/>
      </c>
      <c r="G26" s="8">
        <f>IF(G23=0,0,G25/G23)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0" t="inlineStr">
        <is>
          <t>Detected Recurring Charges (3+ months)</t>
        </is>
      </c>
    </row>
    <row r="3">
      <c r="A3" s="3" t="inlineStr">
        <is>
          <t>Description</t>
        </is>
      </c>
      <c r="B3" s="3" t="inlineStr">
        <is>
          <t>Occurrences</t>
        </is>
      </c>
      <c r="C3" s="3" t="inlineStr">
        <is>
          <t>Avg Amount</t>
        </is>
      </c>
      <c r="D3" s="3" t="inlineStr">
        <is>
          <t>Est. Annual Cost</t>
        </is>
      </c>
    </row>
    <row r="4">
      <c r="A4" t="inlineStr">
        <is>
          <t>Rent Payment - Sunrise Apartments</t>
        </is>
      </c>
      <c r="B4" t="n">
        <v>6</v>
      </c>
      <c r="C4" s="11" t="n">
        <v>1450</v>
      </c>
      <c r="D4" s="4" t="n">
        <v>17400</v>
      </c>
    </row>
    <row r="5">
      <c r="A5" t="inlineStr">
        <is>
          <t>Chase Credit Card Payment</t>
        </is>
      </c>
      <c r="B5" t="n">
        <v>7</v>
      </c>
      <c r="C5" s="11" t="n">
        <v>371.34</v>
      </c>
      <c r="D5" s="4" t="n">
        <v>4456.05</v>
      </c>
    </row>
    <row r="6">
      <c r="A6" t="inlineStr">
        <is>
          <t>Southwest Airlines</t>
        </is>
      </c>
      <c r="B6" t="n">
        <v>8</v>
      </c>
      <c r="C6" s="11" t="n">
        <v>282</v>
      </c>
      <c r="D6" s="4" t="n">
        <v>3383.95</v>
      </c>
    </row>
    <row r="7">
      <c r="A7" t="inlineStr">
        <is>
          <t>Marriott Hotels</t>
        </is>
      </c>
      <c r="B7" t="n">
        <v>11</v>
      </c>
      <c r="C7" s="11" t="n">
        <v>222.25</v>
      </c>
      <c r="D7" s="4" t="n">
        <v>2667.01</v>
      </c>
    </row>
    <row r="8">
      <c r="A8" t="inlineStr">
        <is>
          <t>Student Loan Servicer</t>
        </is>
      </c>
      <c r="B8" t="n">
        <v>6</v>
      </c>
      <c r="C8" s="11" t="n">
        <v>220</v>
      </c>
      <c r="D8" s="4" t="n">
        <v>2640</v>
      </c>
    </row>
    <row r="9">
      <c r="A9" t="inlineStr">
        <is>
          <t>Airbnb</t>
        </is>
      </c>
      <c r="B9" t="n">
        <v>8</v>
      </c>
      <c r="C9" s="11" t="n">
        <v>210.85</v>
      </c>
      <c r="D9" s="4" t="n">
        <v>2530.24</v>
      </c>
    </row>
    <row r="10">
      <c r="A10" t="inlineStr">
        <is>
          <t>Best Buy</t>
        </is>
      </c>
      <c r="B10" t="n">
        <v>8</v>
      </c>
      <c r="C10" s="11" t="n">
        <v>157.62</v>
      </c>
      <c r="D10" s="4" t="n">
        <v>1891.38</v>
      </c>
    </row>
    <row r="11">
      <c r="A11" t="inlineStr">
        <is>
          <t>Geico Insurance</t>
        </is>
      </c>
      <c r="B11" t="n">
        <v>6</v>
      </c>
      <c r="C11" s="11" t="n">
        <v>136.65</v>
      </c>
      <c r="D11" s="4" t="n">
        <v>1639.8</v>
      </c>
    </row>
    <row r="12">
      <c r="A12" t="inlineStr">
        <is>
          <t>REI</t>
        </is>
      </c>
      <c r="B12" t="n">
        <v>7</v>
      </c>
      <c r="C12" s="11" t="n">
        <v>111.14</v>
      </c>
      <c r="D12" s="4" t="n">
        <v>1333.7</v>
      </c>
    </row>
    <row r="13">
      <c r="A13" t="inlineStr">
        <is>
          <t>PG&amp;E Electric</t>
        </is>
      </c>
      <c r="B13" t="n">
        <v>6</v>
      </c>
      <c r="C13" s="11" t="n">
        <v>97.45</v>
      </c>
      <c r="D13" s="4" t="n">
        <v>1169.4</v>
      </c>
    </row>
    <row r="14">
      <c r="A14" t="inlineStr">
        <is>
          <t>Comcast Xfinity</t>
        </is>
      </c>
      <c r="B14" t="n">
        <v>6</v>
      </c>
      <c r="C14" s="11" t="n">
        <v>90.01000000000001</v>
      </c>
      <c r="D14" s="4" t="n">
        <v>1080.16</v>
      </c>
    </row>
    <row r="15">
      <c r="A15" t="inlineStr">
        <is>
          <t>Ticketmaster</t>
        </is>
      </c>
      <c r="B15" t="n">
        <v>7</v>
      </c>
      <c r="C15" s="11" t="n">
        <v>87.11</v>
      </c>
      <c r="D15" s="4" t="n">
        <v>1045.29</v>
      </c>
    </row>
    <row r="16">
      <c r="A16" t="inlineStr">
        <is>
          <t>Amazon.com</t>
        </is>
      </c>
      <c r="B16" t="n">
        <v>18</v>
      </c>
      <c r="C16" s="11" t="n">
        <v>82.93000000000001</v>
      </c>
      <c r="D16" s="4" t="n">
        <v>995.1900000000001</v>
      </c>
    </row>
    <row r="17">
      <c r="A17" t="inlineStr">
        <is>
          <t>Verizon Wireless</t>
        </is>
      </c>
      <c r="B17" t="n">
        <v>6</v>
      </c>
      <c r="C17" s="11" t="n">
        <v>81.52</v>
      </c>
      <c r="D17" s="4" t="n">
        <v>978.3</v>
      </c>
    </row>
    <row r="18">
      <c r="A18" t="inlineStr">
        <is>
          <t>Target</t>
        </is>
      </c>
      <c r="B18" t="n">
        <v>8</v>
      </c>
      <c r="C18" s="11" t="n">
        <v>80.42</v>
      </c>
      <c r="D18" s="4" t="n">
        <v>965.1</v>
      </c>
    </row>
    <row r="19">
      <c r="A19" t="inlineStr">
        <is>
          <t>Safeway</t>
        </is>
      </c>
      <c r="B19" t="n">
        <v>6</v>
      </c>
      <c r="C19" s="11" t="n">
        <v>77.48999999999999</v>
      </c>
      <c r="D19" s="4" t="n">
        <v>929.86</v>
      </c>
    </row>
    <row r="20">
      <c r="A20" t="inlineStr">
        <is>
          <t>Trader Joe's</t>
        </is>
      </c>
      <c r="B20" t="n">
        <v>10</v>
      </c>
      <c r="C20" s="11" t="n">
        <v>68.66</v>
      </c>
      <c r="D20" s="4" t="n">
        <v>823.92</v>
      </c>
    </row>
    <row r="21">
      <c r="A21" t="inlineStr">
        <is>
          <t>Whole Foods Market</t>
        </is>
      </c>
      <c r="B21" t="n">
        <v>6</v>
      </c>
      <c r="C21" s="11" t="n">
        <v>67.31999999999999</v>
      </c>
      <c r="D21" s="4" t="n">
        <v>807.8200000000001</v>
      </c>
    </row>
    <row r="22">
      <c r="A22" t="inlineStr">
        <is>
          <t>ATM Withdrawal</t>
        </is>
      </c>
      <c r="B22" t="n">
        <v>12</v>
      </c>
      <c r="C22" s="11" t="n">
        <v>62.18</v>
      </c>
      <c r="D22" s="4" t="n">
        <v>746.11</v>
      </c>
    </row>
    <row r="23">
      <c r="A23" t="inlineStr">
        <is>
          <t>The Cheesecake Factory</t>
        </is>
      </c>
      <c r="B23" t="n">
        <v>11</v>
      </c>
      <c r="C23" s="11" t="n">
        <v>61.72</v>
      </c>
      <c r="D23" s="4" t="n">
        <v>740.59</v>
      </c>
    </row>
    <row r="24">
      <c r="A24" t="inlineStr">
        <is>
          <t>H&amp;M</t>
        </is>
      </c>
      <c r="B24" t="n">
        <v>9</v>
      </c>
      <c r="C24" s="11" t="n">
        <v>59.45</v>
      </c>
      <c r="D24" s="4" t="n">
        <v>713.37</v>
      </c>
    </row>
    <row r="25">
      <c r="A25" t="inlineStr">
        <is>
          <t>Venmo Payment</t>
        </is>
      </c>
      <c r="B25" t="n">
        <v>9</v>
      </c>
      <c r="C25" s="11" t="n">
        <v>47.73</v>
      </c>
      <c r="D25" s="4" t="n">
        <v>572.71</v>
      </c>
    </row>
    <row r="26">
      <c r="A26" t="inlineStr">
        <is>
          <t>Chevron</t>
        </is>
      </c>
      <c r="B26" t="n">
        <v>5</v>
      </c>
      <c r="C26" s="11" t="n">
        <v>46.06</v>
      </c>
      <c r="D26" s="4" t="n">
        <v>552.7</v>
      </c>
    </row>
    <row r="27">
      <c r="A27" t="inlineStr">
        <is>
          <t>Shell Gas Station</t>
        </is>
      </c>
      <c r="B27" t="n">
        <v>7</v>
      </c>
      <c r="C27" s="11" t="n">
        <v>44.5</v>
      </c>
      <c r="D27" s="4" t="n">
        <v>533.98</v>
      </c>
    </row>
    <row r="28">
      <c r="A28" t="inlineStr">
        <is>
          <t>Local Bar &amp; Grill</t>
        </is>
      </c>
      <c r="B28" t="n">
        <v>8</v>
      </c>
      <c r="C28" s="11" t="n">
        <v>42.56</v>
      </c>
      <c r="D28" s="4" t="n">
        <v>510.69</v>
      </c>
    </row>
    <row r="29">
      <c r="A29" t="inlineStr">
        <is>
          <t>PetSmart</t>
        </is>
      </c>
      <c r="B29" t="n">
        <v>13</v>
      </c>
      <c r="C29" s="11" t="n">
        <v>35.38</v>
      </c>
      <c r="D29" s="4" t="n">
        <v>424.51</v>
      </c>
    </row>
    <row r="30">
      <c r="A30" t="inlineStr">
        <is>
          <t>Steam Games</t>
        </is>
      </c>
      <c r="B30" t="n">
        <v>3</v>
      </c>
      <c r="C30" s="11" t="n">
        <v>31.24</v>
      </c>
      <c r="D30" s="4" t="n">
        <v>374.84</v>
      </c>
    </row>
    <row r="31">
      <c r="A31" t="inlineStr">
        <is>
          <t>DoorDash</t>
        </is>
      </c>
      <c r="B31" t="n">
        <v>7</v>
      </c>
      <c r="C31" s="11" t="n">
        <v>30.47</v>
      </c>
      <c r="D31" s="4" t="n">
        <v>365.61</v>
      </c>
    </row>
    <row r="32">
      <c r="A32" t="inlineStr">
        <is>
          <t>Kaiser Permanente Copay</t>
        </is>
      </c>
      <c r="B32" t="n">
        <v>10</v>
      </c>
      <c r="C32" s="11" t="n">
        <v>28.83</v>
      </c>
      <c r="D32" s="4" t="n">
        <v>345.92</v>
      </c>
    </row>
    <row r="33">
      <c r="A33" t="inlineStr">
        <is>
          <t>CVS Pharmacy</t>
        </is>
      </c>
      <c r="B33" t="n">
        <v>12</v>
      </c>
      <c r="C33" s="11" t="n">
        <v>27.09</v>
      </c>
      <c r="D33" s="4" t="n">
        <v>325.1</v>
      </c>
    </row>
    <row r="34">
      <c r="A34" t="inlineStr">
        <is>
          <t>Walgreens</t>
        </is>
      </c>
      <c r="B34" t="n">
        <v>7</v>
      </c>
      <c r="C34" s="11" t="n">
        <v>26.73</v>
      </c>
      <c r="D34" s="4" t="n">
        <v>320.76</v>
      </c>
    </row>
    <row r="35">
      <c r="A35" t="inlineStr">
        <is>
          <t>Local Pizza Co</t>
        </is>
      </c>
      <c r="B35" t="n">
        <v>8</v>
      </c>
      <c r="C35" s="11" t="n">
        <v>25.43</v>
      </c>
      <c r="D35" s="4" t="n">
        <v>305.17</v>
      </c>
    </row>
    <row r="36">
      <c r="A36" t="inlineStr">
        <is>
          <t>Planet Fitness</t>
        </is>
      </c>
      <c r="B36" t="n">
        <v>6</v>
      </c>
      <c r="C36" s="11" t="n">
        <v>24.99</v>
      </c>
      <c r="D36" s="4" t="n">
        <v>299.88</v>
      </c>
    </row>
    <row r="37">
      <c r="A37" t="inlineStr">
        <is>
          <t>Uber</t>
        </is>
      </c>
      <c r="B37" t="n">
        <v>5</v>
      </c>
      <c r="C37" s="11" t="n">
        <v>20.81</v>
      </c>
      <c r="D37" s="4" t="n">
        <v>249.67</v>
      </c>
    </row>
    <row r="38">
      <c r="A38" t="inlineStr">
        <is>
          <t>AMC Theatres</t>
        </is>
      </c>
      <c r="B38" t="n">
        <v>3</v>
      </c>
      <c r="C38" s="11" t="n">
        <v>19.73</v>
      </c>
      <c r="D38" s="4" t="n">
        <v>236.72</v>
      </c>
    </row>
    <row r="39">
      <c r="A39" t="inlineStr">
        <is>
          <t>Lyft</t>
        </is>
      </c>
      <c r="B39" t="n">
        <v>9</v>
      </c>
      <c r="C39" s="11" t="n">
        <v>17.13</v>
      </c>
      <c r="D39" s="4" t="n">
        <v>205.51</v>
      </c>
    </row>
    <row r="40">
      <c r="A40" t="inlineStr">
        <is>
          <t>NYTimes Subscription</t>
        </is>
      </c>
      <c r="B40" t="n">
        <v>6</v>
      </c>
      <c r="C40" s="11" t="n">
        <v>17</v>
      </c>
      <c r="D40" s="4" t="n">
        <v>204</v>
      </c>
    </row>
    <row r="41">
      <c r="A41" t="inlineStr">
        <is>
          <t>Netflix.com</t>
        </is>
      </c>
      <c r="B41" t="n">
        <v>6</v>
      </c>
      <c r="C41" s="11" t="n">
        <v>15.49</v>
      </c>
      <c r="D41" s="4" t="n">
        <v>185.88</v>
      </c>
    </row>
    <row r="42">
      <c r="A42" t="inlineStr">
        <is>
          <t>Amazon Prime</t>
        </is>
      </c>
      <c r="B42" t="n">
        <v>6</v>
      </c>
      <c r="C42" s="11" t="n">
        <v>14.99</v>
      </c>
      <c r="D42" s="4" t="n">
        <v>179.88</v>
      </c>
    </row>
    <row r="43">
      <c r="A43" t="inlineStr">
        <is>
          <t>Spotify USA</t>
        </is>
      </c>
      <c r="B43" t="n">
        <v>6</v>
      </c>
      <c r="C43" s="11" t="n">
        <v>11.99</v>
      </c>
      <c r="D43" s="4" t="n">
        <v>143.88</v>
      </c>
    </row>
    <row r="44">
      <c r="A44" t="inlineStr">
        <is>
          <t>Chipotle</t>
        </is>
      </c>
      <c r="B44" t="n">
        <v>8</v>
      </c>
      <c r="C44" s="11" t="n">
        <v>10.75</v>
      </c>
      <c r="D44" s="4" t="n">
        <v>129.02</v>
      </c>
    </row>
    <row r="45">
      <c r="A45" t="inlineStr">
        <is>
          <t>Bay Area Rapid Transit</t>
        </is>
      </c>
      <c r="B45" t="n">
        <v>6</v>
      </c>
      <c r="C45" s="11" t="n">
        <v>10.17</v>
      </c>
      <c r="D45" s="4" t="n">
        <v>122</v>
      </c>
    </row>
    <row r="46">
      <c r="A46" t="inlineStr">
        <is>
          <t>Starbucks</t>
        </is>
      </c>
      <c r="B46" t="n">
        <v>8</v>
      </c>
      <c r="C46" s="11" t="n">
        <v>7.62</v>
      </c>
      <c r="D46" s="4" t="n">
        <v>91.48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2026-08-01T01:03:21Z</dcterms:created>
  <dcterms:modified xmlns:dcterms="http://purl.org/dc/terms/" xmlns:xsi="http://www.w3.org/2001/XMLSchema-instance" xsi:type="dcterms:W3CDTF">2026-08-01T01:08:22Z</dcterms:modified>
</cp:coreProperties>
</file>